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30"/>
  <workbookPr/>
  <xr:revisionPtr revIDLastSave="0" documentId="8_{385020FB-131F-3943-BB40-720D810F8672}" xr6:coauthVersionLast="47" xr6:coauthVersionMax="47" xr10:uidLastSave="{00000000-0000-0000-0000-000000000000}"/>
  <bookViews>
    <workbookView xWindow="0" yWindow="0" windowWidth="16384" windowHeight="8192" tabRatio="500" xr2:uid="{00000000-000D-0000-FFFF-FFFF00000000}"/>
  </bookViews>
  <sheets>
    <sheet name="DATI" sheetId="1" r:id="rId1"/>
    <sheet name="TEST_COUNT_PRIMI 3 MESI" sheetId="2" r:id="rId2"/>
    <sheet name="DPCache_Instrument Summary (1)" sheetId="3" state="hidden" r:id="rId3"/>
  </sheets>
  <externalReferences>
    <externalReference r:id="rId4"/>
  </externalReferences>
  <definedNames>
    <definedName name="_xlnm._FilterDatabase" localSheetId="0" hidden="1">DATI!$A$1:$N$1</definedName>
  </definedNames>
  <calcPr calcId="191028" iterateDelta="1E-4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47" i="1" l="1"/>
  <c r="J147" i="1"/>
  <c r="M146" i="1"/>
  <c r="J146" i="1"/>
  <c r="M145" i="1"/>
  <c r="A145" i="1"/>
  <c r="J144" i="1"/>
  <c r="M143" i="1"/>
  <c r="J143" i="1"/>
  <c r="M141" i="1"/>
  <c r="J141" i="1"/>
  <c r="M140" i="1"/>
  <c r="J140" i="1"/>
  <c r="A140" i="1"/>
  <c r="M139" i="1"/>
  <c r="J139" i="1"/>
  <c r="A139" i="1"/>
  <c r="M138" i="1"/>
  <c r="J138" i="1"/>
  <c r="A138" i="1"/>
  <c r="M137" i="1"/>
  <c r="J137" i="1"/>
  <c r="A137" i="1"/>
  <c r="J136" i="1"/>
  <c r="M135" i="1"/>
  <c r="J135" i="1"/>
  <c r="M134" i="1"/>
  <c r="J134" i="1"/>
  <c r="A134" i="1"/>
  <c r="M133" i="1"/>
  <c r="J133" i="1"/>
  <c r="A133" i="1"/>
  <c r="M132" i="1"/>
  <c r="J132" i="1"/>
  <c r="J131" i="1"/>
  <c r="M129" i="1"/>
  <c r="J129" i="1"/>
  <c r="M128" i="1"/>
  <c r="J128" i="1"/>
  <c r="M127" i="1"/>
  <c r="J127" i="1"/>
  <c r="A127" i="1"/>
  <c r="M126" i="1"/>
  <c r="J126" i="1"/>
  <c r="J125" i="1"/>
  <c r="M124" i="1"/>
  <c r="J124" i="1"/>
  <c r="M123" i="1"/>
  <c r="J123" i="1"/>
  <c r="M122" i="1"/>
  <c r="J122" i="1"/>
  <c r="M121" i="1"/>
  <c r="J121" i="1"/>
  <c r="A121" i="1"/>
  <c r="A120" i="1"/>
  <c r="M119" i="1"/>
  <c r="J119" i="1"/>
  <c r="A119" i="1"/>
  <c r="M118" i="1"/>
  <c r="J118" i="1"/>
  <c r="A118" i="1"/>
  <c r="M117" i="1"/>
  <c r="J117" i="1"/>
  <c r="M116" i="1"/>
  <c r="J116" i="1"/>
  <c r="M115" i="1"/>
  <c r="J115" i="1"/>
  <c r="M114" i="1"/>
  <c r="J114" i="1"/>
  <c r="A114" i="1"/>
  <c r="J113" i="1"/>
  <c r="M111" i="1"/>
  <c r="J111" i="1"/>
  <c r="M110" i="1"/>
  <c r="J110" i="1"/>
  <c r="M109" i="1"/>
  <c r="J109" i="1"/>
  <c r="A109" i="1"/>
  <c r="M108" i="1"/>
  <c r="J108" i="1"/>
  <c r="A108" i="1"/>
  <c r="M107" i="1"/>
  <c r="J107" i="1"/>
  <c r="A107" i="1"/>
  <c r="M106" i="1"/>
  <c r="J106" i="1"/>
  <c r="A106" i="1"/>
  <c r="M105" i="1"/>
  <c r="J105" i="1"/>
  <c r="A104" i="1"/>
  <c r="M103" i="1"/>
  <c r="J103" i="1"/>
  <c r="A103" i="1"/>
  <c r="M102" i="1"/>
  <c r="J102" i="1"/>
  <c r="M101" i="1"/>
  <c r="J101" i="1"/>
  <c r="A101" i="1"/>
  <c r="M100" i="1"/>
  <c r="J100" i="1"/>
  <c r="A100" i="1"/>
  <c r="M99" i="1"/>
  <c r="J99" i="1"/>
  <c r="A99" i="1"/>
  <c r="M98" i="1"/>
  <c r="J98" i="1"/>
  <c r="A98" i="1"/>
  <c r="M96" i="1"/>
  <c r="J96" i="1"/>
  <c r="M95" i="1"/>
  <c r="J95" i="1"/>
  <c r="J94" i="1"/>
  <c r="M92" i="1"/>
  <c r="J92" i="1"/>
  <c r="M90" i="1"/>
  <c r="J90" i="1"/>
  <c r="M89" i="1"/>
  <c r="J89" i="1"/>
  <c r="M88" i="1"/>
  <c r="J88" i="1"/>
  <c r="M87" i="1"/>
  <c r="J87" i="1"/>
  <c r="M86" i="1"/>
  <c r="J86" i="1"/>
  <c r="M85" i="1"/>
  <c r="J85" i="1"/>
  <c r="M84" i="1"/>
  <c r="J84" i="1"/>
  <c r="A83" i="1"/>
  <c r="M82" i="1"/>
  <c r="A82" i="1"/>
  <c r="M81" i="1"/>
  <c r="J81" i="1"/>
  <c r="A81" i="1"/>
  <c r="J80" i="1"/>
  <c r="M79" i="1"/>
  <c r="J79" i="1"/>
  <c r="A79" i="1"/>
  <c r="J78" i="1"/>
  <c r="M77" i="1"/>
  <c r="J77" i="1"/>
  <c r="M76" i="1"/>
  <c r="J76" i="1"/>
  <c r="M75" i="1"/>
  <c r="J75" i="1"/>
  <c r="M74" i="1"/>
  <c r="J74" i="1"/>
  <c r="A74" i="1"/>
  <c r="M73" i="1"/>
  <c r="J73" i="1"/>
  <c r="A73" i="1"/>
  <c r="M72" i="1"/>
  <c r="J72" i="1"/>
  <c r="M71" i="1"/>
  <c r="J71" i="1"/>
  <c r="J70" i="1"/>
  <c r="A70" i="1"/>
  <c r="M69" i="1"/>
  <c r="J69" i="1"/>
  <c r="A69" i="1"/>
  <c r="M68" i="1"/>
  <c r="J68" i="1"/>
  <c r="A68" i="1"/>
  <c r="M67" i="1"/>
  <c r="J67" i="1"/>
  <c r="A67" i="1"/>
  <c r="M65" i="1"/>
  <c r="J65" i="1"/>
  <c r="M64" i="1"/>
  <c r="J64" i="1"/>
  <c r="A64" i="1"/>
  <c r="M63" i="1"/>
  <c r="J63" i="1"/>
  <c r="A63" i="1"/>
  <c r="M62" i="1"/>
  <c r="J62" i="1"/>
  <c r="A62" i="1"/>
  <c r="M61" i="1"/>
  <c r="J61" i="1"/>
  <c r="M60" i="1"/>
  <c r="J60" i="1"/>
  <c r="A60" i="1"/>
  <c r="M59" i="1"/>
  <c r="J59" i="1"/>
  <c r="A59" i="1"/>
  <c r="M58" i="1"/>
  <c r="J58" i="1"/>
  <c r="M57" i="1"/>
  <c r="J57" i="1"/>
  <c r="A57" i="1"/>
  <c r="M56" i="1"/>
  <c r="J56" i="1"/>
  <c r="A56" i="1"/>
  <c r="M55" i="1"/>
  <c r="J55" i="1"/>
  <c r="A55" i="1"/>
  <c r="M54" i="1"/>
  <c r="J54" i="1"/>
  <c r="A54" i="1"/>
  <c r="M53" i="1"/>
  <c r="J53" i="1"/>
  <c r="A53" i="1"/>
  <c r="A52" i="1"/>
  <c r="M51" i="1"/>
  <c r="J51" i="1"/>
  <c r="A51" i="1"/>
  <c r="M50" i="1"/>
  <c r="J50" i="1"/>
  <c r="A50" i="1"/>
  <c r="L49" i="1"/>
  <c r="J49" i="1"/>
  <c r="A49" i="1"/>
  <c r="M47" i="1"/>
  <c r="J47" i="1"/>
  <c r="M46" i="1"/>
  <c r="M44" i="1"/>
  <c r="J44" i="1"/>
  <c r="M43" i="1"/>
  <c r="J43" i="1"/>
  <c r="A43" i="1"/>
  <c r="M42" i="1"/>
  <c r="J42" i="1"/>
  <c r="M41" i="1"/>
  <c r="J41" i="1"/>
  <c r="A41" i="1"/>
  <c r="M40" i="1"/>
  <c r="J40" i="1"/>
  <c r="A40" i="1"/>
  <c r="A39" i="1"/>
  <c r="M38" i="1"/>
  <c r="J38" i="1"/>
  <c r="A38" i="1"/>
  <c r="M37" i="1"/>
  <c r="J37" i="1"/>
  <c r="M36" i="1"/>
  <c r="J36" i="1"/>
  <c r="M35" i="1"/>
  <c r="J35" i="1"/>
  <c r="M34" i="1"/>
  <c r="J34" i="1"/>
  <c r="M33" i="1"/>
  <c r="J33" i="1"/>
  <c r="A33" i="1"/>
  <c r="M31" i="1"/>
  <c r="J31" i="1"/>
  <c r="M30" i="1"/>
  <c r="J30" i="1"/>
  <c r="A30" i="1"/>
  <c r="M29" i="1"/>
  <c r="J29" i="1"/>
  <c r="A29" i="1"/>
  <c r="M28" i="1"/>
  <c r="J28" i="1"/>
  <c r="A28" i="1"/>
  <c r="M27" i="1"/>
  <c r="J27" i="1"/>
  <c r="M26" i="1"/>
  <c r="J26" i="1"/>
  <c r="A26" i="1"/>
  <c r="A25" i="1"/>
  <c r="M24" i="1"/>
  <c r="A24" i="1"/>
  <c r="M23" i="1"/>
  <c r="J23" i="1"/>
  <c r="A23" i="1"/>
  <c r="M22" i="1"/>
  <c r="J22" i="1"/>
  <c r="A22" i="1"/>
  <c r="M21" i="1"/>
  <c r="J21" i="1"/>
  <c r="A21" i="1"/>
  <c r="M20" i="1"/>
  <c r="J20" i="1"/>
  <c r="M19" i="1"/>
  <c r="J19" i="1"/>
  <c r="M17" i="1"/>
  <c r="J17" i="1"/>
  <c r="M16" i="1"/>
  <c r="J16" i="1"/>
  <c r="A16" i="1"/>
  <c r="M15" i="1"/>
  <c r="J15" i="1"/>
  <c r="A15" i="1"/>
  <c r="M14" i="1"/>
  <c r="J14" i="1"/>
  <c r="A14" i="1"/>
  <c r="M12" i="1"/>
  <c r="J12" i="1"/>
  <c r="A12" i="1"/>
  <c r="M11" i="1"/>
  <c r="J11" i="1"/>
  <c r="M10" i="1"/>
  <c r="J10" i="1"/>
  <c r="A10" i="1"/>
  <c r="M9" i="1"/>
  <c r="J9" i="1"/>
  <c r="A9" i="1"/>
  <c r="M8" i="1"/>
  <c r="J8" i="1"/>
  <c r="A8" i="1"/>
  <c r="M7" i="1"/>
  <c r="J7" i="1"/>
  <c r="A7" i="1"/>
  <c r="M6" i="1"/>
  <c r="J6" i="1"/>
  <c r="A6" i="1"/>
  <c r="A5" i="1"/>
  <c r="M4" i="1"/>
  <c r="J4" i="1"/>
  <c r="A4" i="1"/>
  <c r="J3" i="1"/>
  <c r="A3" i="1"/>
  <c r="M2" i="1"/>
  <c r="J2" i="1"/>
  <c r="A2" i="1"/>
</calcChain>
</file>

<file path=xl/sharedStrings.xml><?xml version="1.0" encoding="utf-8"?>
<sst xmlns="http://schemas.openxmlformats.org/spreadsheetml/2006/main" count="3021" uniqueCount="1141">
  <si>
    <t>LOB</t>
  </si>
  <si>
    <t>Rgt/Cal/QC/Cons</t>
  </si>
  <si>
    <t>Lotto 1 - Area Siero</t>
  </si>
  <si>
    <t>Assay name</t>
  </si>
  <si>
    <t>LN ABBOTT</t>
  </si>
  <si>
    <t>LN ABBOTT AGGIORNATI</t>
  </si>
  <si>
    <t>Descrizione commerciale</t>
  </si>
  <si>
    <t>KIT</t>
  </si>
  <si>
    <t>Conf.to</t>
  </si>
  <si>
    <t>Test (tot) medi/mm ALINK</t>
  </si>
  <si>
    <t>Test TOT MEDI/MESE Aggiustati</t>
  </si>
  <si>
    <t># Kit/Mese</t>
  </si>
  <si>
    <t>RGT</t>
  </si>
  <si>
    <t>ACIDI BILIARI</t>
  </si>
  <si>
    <t>Bile Acids</t>
  </si>
  <si>
    <t>8P5722</t>
  </si>
  <si>
    <t>Alinity c Acidi biliari Reagente</t>
  </si>
  <si>
    <t>4x50</t>
  </si>
  <si>
    <t>ACIDO LATTICO</t>
  </si>
  <si>
    <t>4U2620</t>
  </si>
  <si>
    <t>Alinity c Acido Lattico Reagente</t>
  </si>
  <si>
    <t>4x100</t>
  </si>
  <si>
    <t>…</t>
  </si>
  <si>
    <t>….</t>
  </si>
  <si>
    <t>ACIDO VALPROICO</t>
  </si>
  <si>
    <t>Valproic</t>
  </si>
  <si>
    <t>9P9220</t>
  </si>
  <si>
    <t>Alinity c Acido Valproico Reagente</t>
  </si>
  <si>
    <t>2x100</t>
  </si>
  <si>
    <t>ALBUMINA</t>
  </si>
  <si>
    <t>Alinity c Albumina BCG 2 Reagente</t>
  </si>
  <si>
    <t>4x780</t>
  </si>
  <si>
    <t>AlbBCG2</t>
  </si>
  <si>
    <t>4U3020</t>
  </si>
  <si>
    <t>4x261</t>
  </si>
  <si>
    <t>ALBUMINA URINARIA</t>
  </si>
  <si>
    <t>Microalb</t>
  </si>
  <si>
    <t>8P0424</t>
  </si>
  <si>
    <t>Alinity c Microalbumina Reagente</t>
  </si>
  <si>
    <t>2x320</t>
  </si>
  <si>
    <t>ALCOLEMIA</t>
  </si>
  <si>
    <t>Ethanol</t>
  </si>
  <si>
    <t>8P4130</t>
  </si>
  <si>
    <t>Alinity c Etanolo Reagente</t>
  </si>
  <si>
    <t>ALFA-1-ANTITRIPSINA</t>
  </si>
  <si>
    <t>a1AT</t>
  </si>
  <si>
    <t>1R0720</t>
  </si>
  <si>
    <t>Alinity c Alfa-1 Antitripsina Reagente</t>
  </si>
  <si>
    <t>ALFA-1-GLIC. ACIDA</t>
  </si>
  <si>
    <t>a1AGP</t>
  </si>
  <si>
    <t>1R0820</t>
  </si>
  <si>
    <t>Alinity c Alfa-1 Glicoproteina Reagente</t>
  </si>
  <si>
    <t>IA</t>
  </si>
  <si>
    <t>ALFA-FETOPROTEINA</t>
  </si>
  <si>
    <t>AFP</t>
  </si>
  <si>
    <t>7P9020</t>
  </si>
  <si>
    <t>Alinity i AFP Reagente</t>
  </si>
  <si>
    <t>AMFETAMINA su Urina</t>
  </si>
  <si>
    <t>AmpSQ</t>
  </si>
  <si>
    <t>9P4520</t>
  </si>
  <si>
    <t>Alinity c Anfetamina/Metanfetamine Reagente</t>
  </si>
  <si>
    <t>2x200</t>
  </si>
  <si>
    <t>AMH ° - NON RICHIESTO</t>
  </si>
  <si>
    <t>AMILASI</t>
  </si>
  <si>
    <t>AMY2F</t>
  </si>
  <si>
    <t>4T8520</t>
  </si>
  <si>
    <t>Alinity c Amilasi 2 Reagente</t>
  </si>
  <si>
    <t>4x160</t>
  </si>
  <si>
    <t>AMILASI PANCREATICA</t>
  </si>
  <si>
    <t>P Amylase</t>
  </si>
  <si>
    <t>1R0422</t>
  </si>
  <si>
    <t>Alinity c Amilasi Pancreatica Reagente</t>
  </si>
  <si>
    <t>AMMONIEMIA</t>
  </si>
  <si>
    <t>Ammonia</t>
  </si>
  <si>
    <t>8P2220</t>
  </si>
  <si>
    <t>Alinity c Ammonio Reagente</t>
  </si>
  <si>
    <t>ANTI HCV</t>
  </si>
  <si>
    <t>Anti-HCVII</t>
  </si>
  <si>
    <t>8P0633</t>
  </si>
  <si>
    <t>06T7932</t>
  </si>
  <si>
    <t>Alinity i Anti-HCV Reagente--&gt; HCV Next</t>
  </si>
  <si>
    <t>2x500</t>
  </si>
  <si>
    <t>Alinity i Anti-HCV Reagente</t>
  </si>
  <si>
    <t>ANTI- TIREOGLOBULINA</t>
  </si>
  <si>
    <t>Anti-Tg</t>
  </si>
  <si>
    <t>9P3420</t>
  </si>
  <si>
    <t>Alinity i Anti Tg Reagente</t>
  </si>
  <si>
    <t>ANTI-PEROSSIDASI</t>
  </si>
  <si>
    <t>Anti-TPO</t>
  </si>
  <si>
    <t>9P3522</t>
  </si>
  <si>
    <t>Alinity i Anti TPO Reagente</t>
  </si>
  <si>
    <t>APOLIPOPROT A</t>
  </si>
  <si>
    <t>APOA1</t>
  </si>
  <si>
    <t>9P4624</t>
  </si>
  <si>
    <t>Alinity c Apolipoproteina A1 Reagente</t>
  </si>
  <si>
    <t>2x95</t>
  </si>
  <si>
    <t>APOLIPOPROT B</t>
  </si>
  <si>
    <t>APOB</t>
  </si>
  <si>
    <t>9P4724</t>
  </si>
  <si>
    <t>Alinity c Apolipoproteina B Reagente</t>
  </si>
  <si>
    <t>APTOGLOBINA</t>
  </si>
  <si>
    <t>Haptoglob</t>
  </si>
  <si>
    <t>9P5924</t>
  </si>
  <si>
    <t>Alinity c Aptoglobina Reagente</t>
  </si>
  <si>
    <t>2x90</t>
  </si>
  <si>
    <t>AZOTEMIA</t>
  </si>
  <si>
    <t>Urea/UreaU</t>
  </si>
  <si>
    <t>8P1630</t>
  </si>
  <si>
    <t>Alinity c Azoto Ureico Reagente</t>
  </si>
  <si>
    <t>10x1300</t>
  </si>
  <si>
    <t>10x400</t>
  </si>
  <si>
    <t>BENZODIAZEPINE (U)</t>
  </si>
  <si>
    <t>BenzSQ</t>
  </si>
  <si>
    <t>9P5220</t>
  </si>
  <si>
    <t>Alinity c Benzodiazepine Reagente</t>
  </si>
  <si>
    <t>2x250</t>
  </si>
  <si>
    <t>Beta HCG</t>
  </si>
  <si>
    <t>B-hCG</t>
  </si>
  <si>
    <t>7P5120</t>
  </si>
  <si>
    <t>Alinity i Total β-hCG Reagente</t>
  </si>
  <si>
    <t>BETA2-MICROGLOBULINA</t>
  </si>
  <si>
    <t>B2M</t>
  </si>
  <si>
    <t>1R0920</t>
  </si>
  <si>
    <t>Alinity c B2-Microglobulina Reagente</t>
  </si>
  <si>
    <t>BILIRUBINA DIRETTA</t>
  </si>
  <si>
    <t>Bili D</t>
  </si>
  <si>
    <t>7P9720</t>
  </si>
  <si>
    <t>Alinity c Bilirubina Diretta Reagente</t>
  </si>
  <si>
    <t>4x360</t>
  </si>
  <si>
    <t>BILIRUBINA TOTALE</t>
  </si>
  <si>
    <t>TBili2</t>
  </si>
  <si>
    <t>4U0520</t>
  </si>
  <si>
    <t>Alinity c Bilirubina Totale 2 Reagente</t>
  </si>
  <si>
    <t>10x350</t>
  </si>
  <si>
    <t>BNP/NT-proBNP</t>
  </si>
  <si>
    <t>BNP</t>
  </si>
  <si>
    <t>8P2430</t>
  </si>
  <si>
    <t>Alinity i BNP Reagente</t>
  </si>
  <si>
    <t>BUPRENORFINA (U)</t>
  </si>
  <si>
    <t>BUP SQ</t>
  </si>
  <si>
    <t>4Z4220</t>
  </si>
  <si>
    <t>Alinity c Buprenorfina Reagente</t>
  </si>
  <si>
    <t>1x200</t>
  </si>
  <si>
    <t>C PEPTIDE</t>
  </si>
  <si>
    <t>C-Peptide</t>
  </si>
  <si>
    <t>9P3620</t>
  </si>
  <si>
    <t>Alinity i C-Peptide Reagente</t>
  </si>
  <si>
    <t>CA 125</t>
  </si>
  <si>
    <t>CA 125 II</t>
  </si>
  <si>
    <t>8P4920</t>
  </si>
  <si>
    <t>Alinity i CA 125 II Reagente</t>
  </si>
  <si>
    <t>CA 15.3</t>
  </si>
  <si>
    <t>CA 15-3</t>
  </si>
  <si>
    <t>8P5120</t>
  </si>
  <si>
    <t>Alinity i CA 15-3 Reagente</t>
  </si>
  <si>
    <t>CA 19.9</t>
  </si>
  <si>
    <t>CA19-9XR</t>
  </si>
  <si>
    <t>8P3230</t>
  </si>
  <si>
    <t>Alinity i CA 19-9XR Reagente</t>
  </si>
  <si>
    <t>CALCIO</t>
  </si>
  <si>
    <t>CaC2-CaC2-U</t>
  </si>
  <si>
    <t>4T8730</t>
  </si>
  <si>
    <t>Alinity c Calcio 2 Reagente</t>
  </si>
  <si>
    <t>4x1290</t>
  </si>
  <si>
    <t>4x390</t>
  </si>
  <si>
    <t>CANNABINOIDI (U)</t>
  </si>
  <si>
    <t>THC1SQ</t>
  </si>
  <si>
    <t>9P5420</t>
  </si>
  <si>
    <t>Alinity c Cannabinoidi Reagente</t>
  </si>
  <si>
    <t>CARBAMAZEPINA</t>
  </si>
  <si>
    <t>Carb</t>
  </si>
  <si>
    <t>8P5820</t>
  </si>
  <si>
    <t>Alinity c Carbamazepina Reagente</t>
  </si>
  <si>
    <t>CEA</t>
  </si>
  <si>
    <t>7P6220</t>
  </si>
  <si>
    <t>Alinity i CEA Reagente</t>
  </si>
  <si>
    <t>CERULOPLASMINA</t>
  </si>
  <si>
    <t>Cerulo</t>
  </si>
  <si>
    <t>9P9320</t>
  </si>
  <si>
    <t>Alinity c Ceruloplasmina Reagente</t>
  </si>
  <si>
    <t>CICLOSPORINA (S int)</t>
  </si>
  <si>
    <t>Cyclo</t>
  </si>
  <si>
    <t>9P3920</t>
  </si>
  <si>
    <t>Alinity i Ciclosporina Reagente</t>
  </si>
  <si>
    <t>CC</t>
  </si>
  <si>
    <t>CISTATNA C</t>
  </si>
  <si>
    <t>6T3220</t>
  </si>
  <si>
    <t xml:space="preserve">Alinity c CYS C Reagente (CISTATINA C) 200t </t>
  </si>
  <si>
    <t>x100</t>
  </si>
  <si>
    <t>6T3230</t>
  </si>
  <si>
    <t xml:space="preserve">Alinity c CYS C Reagente (CISTATINA C) 500t </t>
  </si>
  <si>
    <t>x250</t>
  </si>
  <si>
    <t>CK-MB MASSA</t>
  </si>
  <si>
    <t>CK-MB STAT</t>
  </si>
  <si>
    <t>4V3830</t>
  </si>
  <si>
    <t>Alinity i CK-MB Reagente</t>
  </si>
  <si>
    <t>CLORO - modulo ICT</t>
  </si>
  <si>
    <t>9D2804</t>
  </si>
  <si>
    <t>Alinity c/Architect c Modulo ICT</t>
  </si>
  <si>
    <t>1 pz</t>
  </si>
  <si>
    <t>COCAINA su Urina</t>
  </si>
  <si>
    <t>CocSQ1</t>
  </si>
  <si>
    <t>9P5520</t>
  </si>
  <si>
    <t>Alinity c Cocaina Reagente</t>
  </si>
  <si>
    <t>COLESTEROLO</t>
  </si>
  <si>
    <t>Chol2</t>
  </si>
  <si>
    <t>4T8830</t>
  </si>
  <si>
    <t>Alinity c Colesterolo 2 Reagente</t>
  </si>
  <si>
    <t>4x800</t>
  </si>
  <si>
    <t>4x220</t>
  </si>
  <si>
    <t>COLESTEROLO HDL</t>
  </si>
  <si>
    <t>Ultra HDL</t>
  </si>
  <si>
    <t>7P7530</t>
  </si>
  <si>
    <t>Alinity c ULTRA HDL Reagente</t>
  </si>
  <si>
    <t>COLESTEROLO LDL</t>
  </si>
  <si>
    <t>Direct LDL</t>
  </si>
  <si>
    <t>7P7120</t>
  </si>
  <si>
    <t>Alinity c LDL Diretta Reagente</t>
  </si>
  <si>
    <t>2x290</t>
  </si>
  <si>
    <t>COLINESTERASI</t>
  </si>
  <si>
    <t>CHE</t>
  </si>
  <si>
    <t>9P9432</t>
  </si>
  <si>
    <t>Alinity c Colinesterasi Reagente</t>
  </si>
  <si>
    <t>COMPLEMENTO C3</t>
  </si>
  <si>
    <t>C3</t>
  </si>
  <si>
    <t>9P5624</t>
  </si>
  <si>
    <t>Alinity c Complemento C3 Reagente</t>
  </si>
  <si>
    <t>2x150</t>
  </si>
  <si>
    <t>COMPLEMENTO C4</t>
  </si>
  <si>
    <t>C4</t>
  </si>
  <si>
    <t>9P5724</t>
  </si>
  <si>
    <t>Alinity c Complemento C4 Reagente</t>
  </si>
  <si>
    <t>CORTISOLO (S+U)</t>
  </si>
  <si>
    <t>Cortisol</t>
  </si>
  <si>
    <t>8P3320</t>
  </si>
  <si>
    <t>Alinity i Cortisolo Reagente</t>
  </si>
  <si>
    <t>CPK</t>
  </si>
  <si>
    <t>CK</t>
  </si>
  <si>
    <t>8P4220</t>
  </si>
  <si>
    <t>Alinity c Creatina Chinasi (CK) Reagente</t>
  </si>
  <si>
    <t>4x300</t>
  </si>
  <si>
    <t>CREATININA</t>
  </si>
  <si>
    <t>CrEnz+CrEnz-U</t>
  </si>
  <si>
    <t>8P0130</t>
  </si>
  <si>
    <t>Alinity c Creatinina Enzimatica Reagente</t>
  </si>
  <si>
    <t>10x360</t>
  </si>
  <si>
    <t>DHEA S</t>
  </si>
  <si>
    <t>DHEA-S</t>
  </si>
  <si>
    <t>9P3720</t>
  </si>
  <si>
    <t>Alinity i DHEA-S Reagente</t>
  </si>
  <si>
    <t>DIBUCAINA</t>
  </si>
  <si>
    <t>DIBCH</t>
  </si>
  <si>
    <t>9P9822</t>
  </si>
  <si>
    <t>Alinity c Dibucaina Reagente</t>
  </si>
  <si>
    <t>DIGOSSINA</t>
  </si>
  <si>
    <t>Digoxin</t>
  </si>
  <si>
    <t>8P3720</t>
  </si>
  <si>
    <t>Alinity c Digossina Reagente</t>
  </si>
  <si>
    <t>4x200</t>
  </si>
  <si>
    <t>ECSTASI su Urina</t>
  </si>
  <si>
    <t>EcstSQ</t>
  </si>
  <si>
    <t>9P5820</t>
  </si>
  <si>
    <t>Alinity c Ecstasy Reagente</t>
  </si>
  <si>
    <t>ESTRADIOLO</t>
  </si>
  <si>
    <t>Estradiol</t>
  </si>
  <si>
    <t>7P5020</t>
  </si>
  <si>
    <t>Alinity i Estradiolo Reagente</t>
  </si>
  <si>
    <t>ETG su Urina</t>
  </si>
  <si>
    <t>FATTORE REUMATOIDE</t>
  </si>
  <si>
    <t>RF</t>
  </si>
  <si>
    <t>1R1632</t>
  </si>
  <si>
    <t>Alinity c Fattore Reumatoide Reagente</t>
  </si>
  <si>
    <t>4x230</t>
  </si>
  <si>
    <t>FENITOINA</t>
  </si>
  <si>
    <t>Phenytoin</t>
  </si>
  <si>
    <t>8P5420</t>
  </si>
  <si>
    <t>Alinity c Fenitoina Reagente</t>
  </si>
  <si>
    <t>FENOBARBITAL</t>
  </si>
  <si>
    <t>Phenobarb</t>
  </si>
  <si>
    <t>9P8520</t>
  </si>
  <si>
    <t>Alinity c Fenobarbitale Reagente</t>
  </si>
  <si>
    <t>Fentanyl</t>
  </si>
  <si>
    <t>4Z4420</t>
  </si>
  <si>
    <t>Alinity c Fentanil Reagente</t>
  </si>
  <si>
    <t>FERRITINA</t>
  </si>
  <si>
    <t>Ferritin</t>
  </si>
  <si>
    <t>7P6530</t>
  </si>
  <si>
    <t>Alinity i Ferritina Reagente</t>
  </si>
  <si>
    <t>2x600</t>
  </si>
  <si>
    <t>FOLATI</t>
  </si>
  <si>
    <t>Folate</t>
  </si>
  <si>
    <t>8P1432</t>
  </si>
  <si>
    <t>Alinity i Folato Reagente</t>
  </si>
  <si>
    <t>FOSFATASI ALCALINA</t>
  </si>
  <si>
    <t>AlkP2F</t>
  </si>
  <si>
    <t>4T8320</t>
  </si>
  <si>
    <t>Alinity c Fosfatasi Alcalina 2 Reagente</t>
  </si>
  <si>
    <t>10x200</t>
  </si>
  <si>
    <t>FOSFORO</t>
  </si>
  <si>
    <t>Phos2+Phos2-U</t>
  </si>
  <si>
    <t>4U0320</t>
  </si>
  <si>
    <t>Alinity c Fosforo 2 Reagente</t>
  </si>
  <si>
    <t>4x280</t>
  </si>
  <si>
    <t>FSH</t>
  </si>
  <si>
    <t>7P4920</t>
  </si>
  <si>
    <t>Alinity i FSH Reagente</t>
  </si>
  <si>
    <t>FT3</t>
  </si>
  <si>
    <t>Free T3</t>
  </si>
  <si>
    <t>7P6930</t>
  </si>
  <si>
    <t>Alinity i T3 Libero Reagente</t>
  </si>
  <si>
    <t>FT4</t>
  </si>
  <si>
    <t>Free T4</t>
  </si>
  <si>
    <t>7P7030</t>
  </si>
  <si>
    <t>Alinity i T4 Libero Reagente</t>
  </si>
  <si>
    <t>G-6-PDH</t>
  </si>
  <si>
    <t>0LG202</t>
  </si>
  <si>
    <t>G6PD/6PGD</t>
  </si>
  <si>
    <t>GENTAMICINA</t>
  </si>
  <si>
    <t>8P5520</t>
  </si>
  <si>
    <t>Alinity c Gentamicina Reagente</t>
  </si>
  <si>
    <t>GFAP</t>
  </si>
  <si>
    <t>4W1720</t>
  </si>
  <si>
    <t>Alinity i GFAP (TBI) Reagente</t>
  </si>
  <si>
    <t>GGT</t>
  </si>
  <si>
    <t>GGT2</t>
  </si>
  <si>
    <t>4T9630</t>
  </si>
  <si>
    <t>Alinity c GGT2 Reagente</t>
  </si>
  <si>
    <t>4x525</t>
  </si>
  <si>
    <t>GLICEMIA</t>
  </si>
  <si>
    <t>Glucose - Glucose CU</t>
  </si>
  <si>
    <t>7P5530</t>
  </si>
  <si>
    <t>Alinity c Glucosio Reagente</t>
  </si>
  <si>
    <t xml:space="preserve">10x1100 </t>
  </si>
  <si>
    <t>7P5520</t>
  </si>
  <si>
    <t>HAV lgM</t>
  </si>
  <si>
    <t>HAVAb IgM</t>
  </si>
  <si>
    <t>2R2822</t>
  </si>
  <si>
    <t>Alinity i HAVAb IgM Reagente</t>
  </si>
  <si>
    <t>HAVAb Totali/HAV IgG</t>
  </si>
  <si>
    <t>HAVAb-IgG</t>
  </si>
  <si>
    <t>8P2622</t>
  </si>
  <si>
    <t>Alinity i HAVAb IgG Reagente</t>
  </si>
  <si>
    <t>HBC Ab</t>
  </si>
  <si>
    <t>Anti-HBc</t>
  </si>
  <si>
    <t>7P8722</t>
  </si>
  <si>
    <t>Alinity i Anti-HBc II Reagente</t>
  </si>
  <si>
    <t>HBc lgM</t>
  </si>
  <si>
    <t>Anti-HBc M</t>
  </si>
  <si>
    <t>7P8622</t>
  </si>
  <si>
    <t>Alinity i Anti-HBc IgM Reagente</t>
  </si>
  <si>
    <t>HBeAb</t>
  </si>
  <si>
    <t>Anti-HBe</t>
  </si>
  <si>
    <t>7P6322</t>
  </si>
  <si>
    <t>Alinity i Anti-HBe Reagente</t>
  </si>
  <si>
    <t>HBeAg</t>
  </si>
  <si>
    <t>7P6422</t>
  </si>
  <si>
    <t>Alinity i HBeAg Reagente</t>
  </si>
  <si>
    <t>HBsAb</t>
  </si>
  <si>
    <t>AntiHBsdil</t>
  </si>
  <si>
    <t>7P8957</t>
  </si>
  <si>
    <t>Alinity i Anti-HBs Reagente (Autodil)</t>
  </si>
  <si>
    <t>7P8952</t>
  </si>
  <si>
    <t>HBsAg</t>
  </si>
  <si>
    <t>HBsAgNx</t>
  </si>
  <si>
    <t>1R6432</t>
  </si>
  <si>
    <t>Alinity i HBsAg Next Qualitativo Reagente</t>
  </si>
  <si>
    <t>1R6422</t>
  </si>
  <si>
    <t>HbsAg quantitativo</t>
  </si>
  <si>
    <t>8P0852</t>
  </si>
  <si>
    <t>Alinity i HBsAg Quant Reagente (Autodil</t>
  </si>
  <si>
    <t>HE4</t>
  </si>
  <si>
    <t>8P5022</t>
  </si>
  <si>
    <t>Alinity i HE4 Reagente</t>
  </si>
  <si>
    <t>HIV</t>
  </si>
  <si>
    <t>HIV Ag/Ab</t>
  </si>
  <si>
    <t>8P0732</t>
  </si>
  <si>
    <t>Alinity i HIV Ag/Ab Combo Reagente</t>
  </si>
  <si>
    <t>8P0722</t>
  </si>
  <si>
    <t>IGA</t>
  </si>
  <si>
    <t>IgA</t>
  </si>
  <si>
    <t>9P6124</t>
  </si>
  <si>
    <t>Alinity c Immunoglobulina A Reagente</t>
  </si>
  <si>
    <t>4x90</t>
  </si>
  <si>
    <t>IGE TOTALI</t>
  </si>
  <si>
    <t>IgE</t>
  </si>
  <si>
    <t>1R1322</t>
  </si>
  <si>
    <t>Alinity c Immunoglobuline E (IgE) Reagente</t>
  </si>
  <si>
    <t>IGG</t>
  </si>
  <si>
    <t>IgG</t>
  </si>
  <si>
    <t>9P6224</t>
  </si>
  <si>
    <t>Alinity c Immunoglobulina G Reagente</t>
  </si>
  <si>
    <t>IGM</t>
  </si>
  <si>
    <t>IgM</t>
  </si>
  <si>
    <t>9P6324</t>
  </si>
  <si>
    <t>Alinity c Immunoglobulina M Reagente</t>
  </si>
  <si>
    <t>INSULINA</t>
  </si>
  <si>
    <t>Insulin</t>
  </si>
  <si>
    <t>4T7520</t>
  </si>
  <si>
    <t>Alinity i Insulina Reagente</t>
  </si>
  <si>
    <t>LDH</t>
  </si>
  <si>
    <t>LDH2F</t>
  </si>
  <si>
    <t>4T9930</t>
  </si>
  <si>
    <t>Alinity c LDH 2  Reagente</t>
  </si>
  <si>
    <t>4x500</t>
  </si>
  <si>
    <t>4T9920</t>
  </si>
  <si>
    <t>4x150</t>
  </si>
  <si>
    <t>LH</t>
  </si>
  <si>
    <t>7P9120</t>
  </si>
  <si>
    <t>Alinity i LH Reagente</t>
  </si>
  <si>
    <t>LIPASI</t>
  </si>
  <si>
    <t>Lip2</t>
  </si>
  <si>
    <t>04U0020</t>
  </si>
  <si>
    <t>Alinity c Lipasi2</t>
  </si>
  <si>
    <t>4X125</t>
  </si>
  <si>
    <t>LITIO</t>
  </si>
  <si>
    <t>Lithium</t>
  </si>
  <si>
    <t>8P5320</t>
  </si>
  <si>
    <t>Alinity c Litio Reagente</t>
  </si>
  <si>
    <t>MAGNESIO (S+U)</t>
  </si>
  <si>
    <t>Magnesium+MagnesiumU</t>
  </si>
  <si>
    <t>8P1934</t>
  </si>
  <si>
    <t>Alinity c Magnesio Reagente</t>
  </si>
  <si>
    <t>10x360 s/p
2400 tests 10x240 u</t>
  </si>
  <si>
    <t>METADONE (U)</t>
  </si>
  <si>
    <t>MethSQ</t>
  </si>
  <si>
    <t>9P6420</t>
  </si>
  <si>
    <t>Alinity c Metadone Reagente</t>
  </si>
  <si>
    <t>METOTREXATE</t>
  </si>
  <si>
    <t>MTX UNDIL</t>
  </si>
  <si>
    <t>9P4822</t>
  </si>
  <si>
    <t>Alinity i Methotrexate Reagente</t>
  </si>
  <si>
    <t>MIOGLOBINA</t>
  </si>
  <si>
    <t>Myo STAT</t>
  </si>
  <si>
    <t>4V3730</t>
  </si>
  <si>
    <t>Alinity i Mioglobina Reagente</t>
  </si>
  <si>
    <t>4V3720</t>
  </si>
  <si>
    <t>NGAL urinario</t>
  </si>
  <si>
    <t>9P2920</t>
  </si>
  <si>
    <t>Alinity i uNGAL Reagente</t>
  </si>
  <si>
    <t>OPPIACEI</t>
  </si>
  <si>
    <t>Opi1SQ</t>
  </si>
  <si>
    <t>9P6520</t>
  </si>
  <si>
    <t>Alinity c Oppiacei Reagente</t>
  </si>
  <si>
    <t>PROCALCITONINA</t>
  </si>
  <si>
    <t>PCT</t>
  </si>
  <si>
    <t>1R1822</t>
  </si>
  <si>
    <t>Alinity i PCT Reagente</t>
  </si>
  <si>
    <t>PROGESTERONE</t>
  </si>
  <si>
    <t>Progest</t>
  </si>
  <si>
    <t>8P3620</t>
  </si>
  <si>
    <t>Alinity i Progesterone Reagente</t>
  </si>
  <si>
    <t>PROLATTINA</t>
  </si>
  <si>
    <t>Prolactin</t>
  </si>
  <si>
    <t>7P6620</t>
  </si>
  <si>
    <t>Alinity i Prolattina Reagente</t>
  </si>
  <si>
    <t>PROTEINA C REATTIVA</t>
  </si>
  <si>
    <t>CRP16</t>
  </si>
  <si>
    <t>7P5620</t>
  </si>
  <si>
    <t>Alinity c CRP  Reagente</t>
  </si>
  <si>
    <t>10x350 HS 2900 tests 10x290 WR</t>
  </si>
  <si>
    <t>PROTEINE TOTALI</t>
  </si>
  <si>
    <t>TPRO2</t>
  </si>
  <si>
    <t>4T8130</t>
  </si>
  <si>
    <t>Alinity c Proteine Totali 2 Reagente</t>
  </si>
  <si>
    <t>4T8120</t>
  </si>
  <si>
    <t>PROTEINE URINARIE</t>
  </si>
  <si>
    <t>U/CSF Prot</t>
  </si>
  <si>
    <t>7P5930</t>
  </si>
  <si>
    <t>Alinity c Proteine Urine/CSF Reagente</t>
  </si>
  <si>
    <t>10x250</t>
  </si>
  <si>
    <t>PSA</t>
  </si>
  <si>
    <t>Total PSA</t>
  </si>
  <si>
    <t>7P9230</t>
  </si>
  <si>
    <t>Alinity i PSA Totale Reagente</t>
  </si>
  <si>
    <t>PSA FREE</t>
  </si>
  <si>
    <t>Free PSA</t>
  </si>
  <si>
    <t>7P9330</t>
  </si>
  <si>
    <t>Alinity i PSA Libero Reagente</t>
  </si>
  <si>
    <t>PTH</t>
  </si>
  <si>
    <t>iPTH Stat</t>
  </si>
  <si>
    <t>8P3134</t>
  </si>
  <si>
    <t>Alinity i PTH Intatto Reagente</t>
  </si>
  <si>
    <t>RAME</t>
  </si>
  <si>
    <t>0L10501</t>
  </si>
  <si>
    <t>Alinity c Rame Reagente</t>
  </si>
  <si>
    <t>…..</t>
  </si>
  <si>
    <t>SHBG</t>
  </si>
  <si>
    <t>9P3820</t>
  </si>
  <si>
    <t>Alinity i SHBG Reagente</t>
  </si>
  <si>
    <t>SIDEREMIA</t>
  </si>
  <si>
    <t>Iron2</t>
  </si>
  <si>
    <t>4T9820</t>
  </si>
  <si>
    <t>Alinity c Ferro 2 Reagente</t>
  </si>
  <si>
    <t>4x225</t>
  </si>
  <si>
    <t>SIFILIDE</t>
  </si>
  <si>
    <t>Syphilis</t>
  </si>
  <si>
    <t>7P6022</t>
  </si>
  <si>
    <t>Alinity i Sifilide TP Reagente</t>
  </si>
  <si>
    <t>SIROLIMUS su S.Intero</t>
  </si>
  <si>
    <t>Sirolimus</t>
  </si>
  <si>
    <t>9P4120</t>
  </si>
  <si>
    <t>Alinity i Sirolimus Reagente</t>
  </si>
  <si>
    <t>ST2</t>
  </si>
  <si>
    <t>SUPAR</t>
  </si>
  <si>
    <t>0LT001</t>
  </si>
  <si>
    <t>suPARnostic® TurbiLatex Reagents</t>
  </si>
  <si>
    <t>TACROLIMUS su S.Intero</t>
  </si>
  <si>
    <t>Tacrolimus</t>
  </si>
  <si>
    <t>9P4220</t>
  </si>
  <si>
    <t>Alinity i Tacrolimus Reagente</t>
  </si>
  <si>
    <t>TAS</t>
  </si>
  <si>
    <t>ASO</t>
  </si>
  <si>
    <t>1R0620</t>
  </si>
  <si>
    <t>Alinity c ASO Reagente</t>
  </si>
  <si>
    <t>TEOFILLINA</t>
  </si>
  <si>
    <t>Theo</t>
  </si>
  <si>
    <t>9P8920</t>
  </si>
  <si>
    <t>Alinity c Teofillina Reagente</t>
  </si>
  <si>
    <t>TESTOSTERONE</t>
  </si>
  <si>
    <t>Testo</t>
  </si>
  <si>
    <t>7P6822</t>
  </si>
  <si>
    <t>Alinity i Testosterone 2a Gen Reagente</t>
  </si>
  <si>
    <t>TIREOGLOBULINA</t>
  </si>
  <si>
    <t>9P4922</t>
  </si>
  <si>
    <t>Alinity i Tireoglobulina Reagente</t>
  </si>
  <si>
    <t>?</t>
  </si>
  <si>
    <t>TRANSAMINASI (G8T)</t>
  </si>
  <si>
    <t>A-AST</t>
  </si>
  <si>
    <t>8P2324</t>
  </si>
  <si>
    <t>Alinity c AST Attivate Reagente</t>
  </si>
  <si>
    <t>TRANSAMINASI (GPT)</t>
  </si>
  <si>
    <t>A-ALT</t>
  </si>
  <si>
    <t>8P1824</t>
  </si>
  <si>
    <t>Alinity c ALT Attivate Reagente</t>
  </si>
  <si>
    <t>10x300</t>
  </si>
  <si>
    <t>TRANSFERRINA</t>
  </si>
  <si>
    <t>Transf</t>
  </si>
  <si>
    <t>8P3824</t>
  </si>
  <si>
    <t>Alinity c Transferrina Reagente</t>
  </si>
  <si>
    <t>2x400</t>
  </si>
  <si>
    <t>TRIGLICERIDI</t>
  </si>
  <si>
    <t>Trig2</t>
  </si>
  <si>
    <t>4U0620</t>
  </si>
  <si>
    <t>Alinity c Trigliceridi 2 Reagente</t>
  </si>
  <si>
    <t>4x350</t>
  </si>
  <si>
    <t>TROPONINA hs</t>
  </si>
  <si>
    <t>TnI MI RS</t>
  </si>
  <si>
    <t>8P1337</t>
  </si>
  <si>
    <t>Alinity i STAT HS Troponin-I Reagente</t>
  </si>
  <si>
    <t>8P1327</t>
  </si>
  <si>
    <t>TSH</t>
  </si>
  <si>
    <t>7P4830</t>
  </si>
  <si>
    <t>Alinity i TSH Reagente</t>
  </si>
  <si>
    <t>UCH-L1</t>
  </si>
  <si>
    <t>4W1920</t>
  </si>
  <si>
    <t>Alinity i UCH-L1 (TBI) Reagente</t>
  </si>
  <si>
    <t>URICEMIA</t>
  </si>
  <si>
    <t>Uric2+Uric2-U</t>
  </si>
  <si>
    <t>4U0930</t>
  </si>
  <si>
    <t>Alinity c Acido Urico 2 Reagente</t>
  </si>
  <si>
    <t>VITAMINA B12</t>
  </si>
  <si>
    <t>VitaminB12</t>
  </si>
  <si>
    <t>7P6732</t>
  </si>
  <si>
    <t>Alinity i B12 Reagente</t>
  </si>
  <si>
    <t>VITAMINA D</t>
  </si>
  <si>
    <t>Vit D25OH</t>
  </si>
  <si>
    <t>8P4532</t>
  </si>
  <si>
    <t>Alinity i 25-OH Vit D Reagente</t>
  </si>
  <si>
    <t>ZINCO</t>
  </si>
  <si>
    <t>0L10601</t>
  </si>
  <si>
    <t>Alinity c Zinco Reagente</t>
  </si>
  <si>
    <t>RGT Aux</t>
  </si>
  <si>
    <t>GALECTINA-3</t>
  </si>
  <si>
    <t>9P6022</t>
  </si>
  <si>
    <t>Alinity i Galectina-3 Reagente</t>
  </si>
  <si>
    <t>PEPSINOGENO I</t>
  </si>
  <si>
    <t>9P2422</t>
  </si>
  <si>
    <t>Alinity i Pepsinogeno I Reagente</t>
  </si>
  <si>
    <t>PEPSINOGENO II</t>
  </si>
  <si>
    <t>9P2522</t>
  </si>
  <si>
    <t>Alinity i Pepsinogeno II Reagente</t>
  </si>
  <si>
    <t>CHAGAS</t>
  </si>
  <si>
    <t>9P1922</t>
  </si>
  <si>
    <t>Alinity i Chagas Reagente</t>
  </si>
  <si>
    <t>PIVKA</t>
  </si>
  <si>
    <t>1R1722</t>
  </si>
  <si>
    <t>Alinity i PIVKA  II Reagente</t>
  </si>
  <si>
    <t>ProGRP</t>
  </si>
  <si>
    <t>9P3222</t>
  </si>
  <si>
    <t>Alinity i ProGRP Reagente</t>
  </si>
  <si>
    <t>NSE</t>
  </si>
  <si>
    <t>1R1922</t>
  </si>
  <si>
    <t>Alinity i NSE Reagenti</t>
  </si>
  <si>
    <t>CYFRA 21-1</t>
  </si>
  <si>
    <t>9P4022</t>
  </si>
  <si>
    <t>Alinity i Cyfra 21.1 Reagente</t>
  </si>
  <si>
    <t>SCC</t>
  </si>
  <si>
    <t>9P3322</t>
  </si>
  <si>
    <t>Alinity i SCC Reagente</t>
  </si>
  <si>
    <t>Cons</t>
  </si>
  <si>
    <t>6P1368</t>
  </si>
  <si>
    <t>Alinity i Concentrated Wash Buffer</t>
  </si>
  <si>
    <t>2x2 L</t>
  </si>
  <si>
    <t>6P1270</t>
  </si>
  <si>
    <t>Alinity i Pre-Trigger Solution</t>
  </si>
  <si>
    <t>4 x 975 mL</t>
  </si>
  <si>
    <t>12/15</t>
  </si>
  <si>
    <t>1R5840</t>
  </si>
  <si>
    <t>Alinity i Probe Conditioning Solution</t>
  </si>
  <si>
    <t>2 x 50 mL</t>
  </si>
  <si>
    <t>6P1401</t>
  </si>
  <si>
    <t>Alinity i Reaction Vessels</t>
  </si>
  <si>
    <t>4000 pz.</t>
  </si>
  <si>
    <t>4R4701</t>
  </si>
  <si>
    <t>Alinity i Replacement Caps</t>
  </si>
  <si>
    <t>100 pz.</t>
  </si>
  <si>
    <t>1R3801</t>
  </si>
  <si>
    <t>Alinity i Sample Cups</t>
  </si>
  <si>
    <t>1000 pz.</t>
  </si>
  <si>
    <t>6P1170</t>
  </si>
  <si>
    <t>Alinity i Trigger Solution</t>
  </si>
  <si>
    <t>3R9601</t>
  </si>
  <si>
    <t>Alinity i aghi braccio aspirazione</t>
  </si>
  <si>
    <t>2 pz.</t>
  </si>
  <si>
    <t>8C9436</t>
  </si>
  <si>
    <t>Alinity i probe wash zone</t>
  </si>
  <si>
    <t>1 pz.</t>
  </si>
  <si>
    <t>4S6002</t>
  </si>
  <si>
    <t>Alinty i Probe Tubing, Wash Zone</t>
  </si>
  <si>
    <t>6 pz.</t>
  </si>
  <si>
    <t>4S6101</t>
  </si>
  <si>
    <t>Alinity i Probe Tubing, Waste Aspirate</t>
  </si>
  <si>
    <t>4S6202</t>
  </si>
  <si>
    <t>Alinity i Baffle, Wash Cup</t>
  </si>
  <si>
    <t>3 pz.</t>
  </si>
  <si>
    <t>4S6805</t>
  </si>
  <si>
    <t>Alinity i Level Sensor, Bulk Solution</t>
  </si>
  <si>
    <t>4S6902</t>
  </si>
  <si>
    <t>Alinity i Level Sensor, Diluted Wash Buffer</t>
  </si>
  <si>
    <t>4T7301</t>
  </si>
  <si>
    <t>Alinity Reagent Cool An.</t>
  </si>
  <si>
    <t>Cal</t>
  </si>
  <si>
    <t>8P4501</t>
  </si>
  <si>
    <t>25-OH Vitamin D Calibrator Kit (Alinity i)</t>
  </si>
  <si>
    <t>6 liv x 3 mL</t>
  </si>
  <si>
    <t>7P9001</t>
  </si>
  <si>
    <t>AFP Calibrator Kit (Alinity i)</t>
  </si>
  <si>
    <t>7P8701</t>
  </si>
  <si>
    <t>Anti-HBc Calibrator Kit (Alinity i)</t>
  </si>
  <si>
    <t>1 liv x 3 mL</t>
  </si>
  <si>
    <t>7P8601</t>
  </si>
  <si>
    <t>Anti-HBc IgM Calibrator Kit (Alinity i)</t>
  </si>
  <si>
    <t>2 liv x 3 mL</t>
  </si>
  <si>
    <t>7P6301</t>
  </si>
  <si>
    <t>Anti-HBe Calibrator Kit (Alinity i)</t>
  </si>
  <si>
    <t>7P8901</t>
  </si>
  <si>
    <t>Anti-HBs Calibrator Kit (Alinity i)</t>
  </si>
  <si>
    <t>8P0602</t>
  </si>
  <si>
    <t>Anti-HCV Calibrator Kit (Alinity i)</t>
  </si>
  <si>
    <t>9P3401</t>
  </si>
  <si>
    <t>Anti-TG Calibrator Kit (Alinity i)</t>
  </si>
  <si>
    <t>6x3 mL</t>
  </si>
  <si>
    <t>9P3501</t>
  </si>
  <si>
    <t>Anti-TPO Calibrator Kit (Alinity i)</t>
  </si>
  <si>
    <t>7P6701</t>
  </si>
  <si>
    <t>B12 Calibrator Kit (Alinity i)</t>
  </si>
  <si>
    <t>8P2402</t>
  </si>
  <si>
    <t>BNP Calibrator Kit (Alinity i)</t>
  </si>
  <si>
    <t>1R1801</t>
  </si>
  <si>
    <t>PCT Calibrator Kit (Alinity i)</t>
  </si>
  <si>
    <t>6x2 mL</t>
  </si>
  <si>
    <t>8P4901</t>
  </si>
  <si>
    <t>CA 125 II Calibrator Kit (Alinity i)</t>
  </si>
  <si>
    <t>8P5101</t>
  </si>
  <si>
    <t>CA 15-3 Calibrator Kit (Alinity i)</t>
  </si>
  <si>
    <t>8P3201</t>
  </si>
  <si>
    <t>CA 19-9XR Calibrator Kit (Alinity i)</t>
  </si>
  <si>
    <t>7P6201</t>
  </si>
  <si>
    <t>CEA Calibrator Kit (Alinity i)</t>
  </si>
  <si>
    <t>4V3801</t>
  </si>
  <si>
    <t>CK-MB Calibrator Kit (Alinity i)</t>
  </si>
  <si>
    <t>8P3301</t>
  </si>
  <si>
    <t>Cortisol Calibrator Kit (Alinity i)</t>
  </si>
  <si>
    <t>9P3601</t>
  </si>
  <si>
    <t>C-Peptide Calibrator Kit (Alinity i)</t>
  </si>
  <si>
    <t>9P3901</t>
  </si>
  <si>
    <t>Cyclosporine Calibrator Kit (Alinity i)</t>
  </si>
  <si>
    <t>1x1x 9mL 5x1x4,5mL</t>
  </si>
  <si>
    <t>Precip</t>
  </si>
  <si>
    <t>9P3940</t>
  </si>
  <si>
    <t>Cyclosporine WB Precipitation (Alinity i)</t>
  </si>
  <si>
    <t>1x1x12,3mL 1x1x45mL</t>
  </si>
  <si>
    <t>9P3701</t>
  </si>
  <si>
    <t>DHEA-S Calibrator Kit (Alinity i)</t>
  </si>
  <si>
    <t>6 liv x 2 mL</t>
  </si>
  <si>
    <t>7P5001</t>
  </si>
  <si>
    <t>Estradiol Calibrator Kit (Alinity i)</t>
  </si>
  <si>
    <t>Dil</t>
  </si>
  <si>
    <t>7P5040</t>
  </si>
  <si>
    <t>Estradiol Man Diluent (Alinity i)</t>
  </si>
  <si>
    <t>1x5 mL</t>
  </si>
  <si>
    <t>7P6501</t>
  </si>
  <si>
    <t>Ferritin Calibrator Kit (Alinity i)</t>
  </si>
  <si>
    <t>8P1401</t>
  </si>
  <si>
    <t>Folate Calibrator Kit (Alinity i)</t>
  </si>
  <si>
    <t>8P1460</t>
  </si>
  <si>
    <t>Folate Man Diluent (Alinity i)</t>
  </si>
  <si>
    <t>1 x 4 mL</t>
  </si>
  <si>
    <t>7P9301</t>
  </si>
  <si>
    <t>Free PSA Calibrator Kit (Alinity i)</t>
  </si>
  <si>
    <t>7P6901</t>
  </si>
  <si>
    <t>Free T3 Calibrator Kit (Alinity i)</t>
  </si>
  <si>
    <t>7P7001</t>
  </si>
  <si>
    <t>Free T4 Calibrator Kit (Alinity i)</t>
  </si>
  <si>
    <t>7P4901</t>
  </si>
  <si>
    <t>FSH Calibrator Kit (Alinity i)</t>
  </si>
  <si>
    <t>2x3 mL</t>
  </si>
  <si>
    <t>8P2601</t>
  </si>
  <si>
    <t>HAVAb IgG Calibrator Kit (Alinity i)</t>
  </si>
  <si>
    <t>2R2801</t>
  </si>
  <si>
    <t>HAVAb IgM Calibrator Kit (Alinity i)</t>
  </si>
  <si>
    <t>7P6401</t>
  </si>
  <si>
    <t>HBeAg Calibrator Kit (Alinity i)</t>
  </si>
  <si>
    <t>1R6401</t>
  </si>
  <si>
    <t>HBsAg Next Qualitative Calibrator Kit (Alinity i)</t>
  </si>
  <si>
    <t>8P0801</t>
  </si>
  <si>
    <t>HBsAg Quantitative Calibrator Kit (Alinity i)</t>
  </si>
  <si>
    <t>8P0843</t>
  </si>
  <si>
    <t>HBsAg Man Diluent (Alinity i)</t>
  </si>
  <si>
    <t>1 x 100 mL</t>
  </si>
  <si>
    <t>8P5001</t>
  </si>
  <si>
    <t>HE4 Calibrator Kit (Alinity i)</t>
  </si>
  <si>
    <t>8P0701</t>
  </si>
  <si>
    <t>HIV Ag/Ab Combo Calibrator Kit (Alinity i)</t>
  </si>
  <si>
    <t>4T7501</t>
  </si>
  <si>
    <t>Insulin Calibrator Kit (Alinity i)</t>
  </si>
  <si>
    <t>7P9101</t>
  </si>
  <si>
    <t>LH Calibrator Kit (Alinity i)</t>
  </si>
  <si>
    <t>9P4801</t>
  </si>
  <si>
    <t>Methotrexate Calibrator Kit (Alinity i)</t>
  </si>
  <si>
    <t>6 x 3 mL</t>
  </si>
  <si>
    <t>4V3701</t>
  </si>
  <si>
    <t>Myoglobin Calibrator Kit (Alinity i)</t>
  </si>
  <si>
    <t>8P3601</t>
  </si>
  <si>
    <t>Progesterone Calibrator Kit (Alinity i)</t>
  </si>
  <si>
    <t>8P3640</t>
  </si>
  <si>
    <t>Progesterone Man Diluent (Alinity i)</t>
  </si>
  <si>
    <t>1 x 5 mL</t>
  </si>
  <si>
    <t>7P6601</t>
  </si>
  <si>
    <t>Prolactin Calibrator Kit (Alinity i)</t>
  </si>
  <si>
    <t>8P1301</t>
  </si>
  <si>
    <t>hsTroponin-I Calibrator (Alinity i)</t>
  </si>
  <si>
    <t>8P3102</t>
  </si>
  <si>
    <t>Intact PTH Calibrator Kit (Alinity i)</t>
  </si>
  <si>
    <t>7P5101</t>
  </si>
  <si>
    <t>Total β-hCG Calibrator Kit (Alinity i)</t>
  </si>
  <si>
    <t>9P3801</t>
  </si>
  <si>
    <t>SHBG Calibrator Kit (Alinity i)</t>
  </si>
  <si>
    <t>6 x 2 mL</t>
  </si>
  <si>
    <t>9P4101</t>
  </si>
  <si>
    <t>Sirolimus Calibrator Kit (Alinity i)</t>
  </si>
  <si>
    <t>1x1x9mL 5  1x1x4,5mL</t>
  </si>
  <si>
    <t>9P4140</t>
  </si>
  <si>
    <t>Sirolimus WB Precipitation (Alinity i)</t>
  </si>
  <si>
    <t>1 x 30 mL</t>
  </si>
  <si>
    <t>7P6001</t>
  </si>
  <si>
    <t>Syphilis Calibrator Kit (Alinity i)</t>
  </si>
  <si>
    <t>9P4201</t>
  </si>
  <si>
    <t>Tacrolimus Calibrator Kit (Alinity i)</t>
  </si>
  <si>
    <t>1x1x9mL 5x1x4,5mL</t>
  </si>
  <si>
    <t>9P4240</t>
  </si>
  <si>
    <t>Tacrolimus WB Pecipit (Alinity i)</t>
  </si>
  <si>
    <t>1 x 20,4 mL</t>
  </si>
  <si>
    <t>4W1701</t>
  </si>
  <si>
    <t>GFAP Calibrator kit (Alinity i)</t>
  </si>
  <si>
    <t>6x1x3 mL</t>
  </si>
  <si>
    <t>4W1901</t>
  </si>
  <si>
    <t>ICH-L1 Calibrator Kit (Alinity i)</t>
  </si>
  <si>
    <t>7P6801</t>
  </si>
  <si>
    <t>Testosterone Calibrator Kit (Alinity i)</t>
  </si>
  <si>
    <t>9P4901</t>
  </si>
  <si>
    <t>TG Calibrator Kit (Alinity i)</t>
  </si>
  <si>
    <t>6x1x3,0 mL</t>
  </si>
  <si>
    <t>7P9201</t>
  </si>
  <si>
    <t>Total PSA Calibrator Kit (Alinity i)</t>
  </si>
  <si>
    <t>7P4801</t>
  </si>
  <si>
    <t>TSH Calibrator Kit (Alinity i)</t>
  </si>
  <si>
    <t>9P2901</t>
  </si>
  <si>
    <t>Urine NGAL Calibrator Kit (Alinity i)</t>
  </si>
  <si>
    <t>9P1540</t>
  </si>
  <si>
    <t>Common Diluent (Alinity i)</t>
  </si>
  <si>
    <t>1x100 mL</t>
  </si>
  <si>
    <t>1R6070</t>
  </si>
  <si>
    <t>Alinity c Acid Probe Wash</t>
  </si>
  <si>
    <t>10 pz.</t>
  </si>
  <si>
    <t>28 ???</t>
  </si>
  <si>
    <t>8P7740</t>
  </si>
  <si>
    <t>Alinity c Acid Wash Solution</t>
  </si>
  <si>
    <t>2x500 mL</t>
  </si>
  <si>
    <t>8P7840</t>
  </si>
  <si>
    <t>Alinity c Alkaline Wash Solution</t>
  </si>
  <si>
    <t>4S4602</t>
  </si>
  <si>
    <t>Alinity c Customer Maintenance Kit</t>
  </si>
  <si>
    <t>9D3403</t>
  </si>
  <si>
    <t>Alinity c Wash Solution Check Valve</t>
  </si>
  <si>
    <t>4 pz.</t>
  </si>
  <si>
    <t>9D3503</t>
  </si>
  <si>
    <t>Alinity c ICT Check Valve</t>
  </si>
  <si>
    <t>4S5201</t>
  </si>
  <si>
    <t>Alinity c Asciuga cuvette</t>
  </si>
  <si>
    <t>9D5904</t>
  </si>
  <si>
    <t>Alinity c Mixer</t>
  </si>
  <si>
    <t>9D4503</t>
  </si>
  <si>
    <t>Alinity c Lamp</t>
  </si>
  <si>
    <t>9D6304</t>
  </si>
  <si>
    <t>Alinity c ICT probe</t>
  </si>
  <si>
    <t>1G4805</t>
  </si>
  <si>
    <t>Alinity c Sample Probe Tubing</t>
  </si>
  <si>
    <t>4S4901</t>
  </si>
  <si>
    <t>Alinity c Reagent probe</t>
  </si>
  <si>
    <t>4S5001</t>
  </si>
  <si>
    <t>Alinity c Reagent Probe Tubing</t>
  </si>
  <si>
    <t>4S5101</t>
  </si>
  <si>
    <t>Alinity c Sample probe</t>
  </si>
  <si>
    <t>9D4202</t>
  </si>
  <si>
    <t>Alinity c Cuvette Wiper</t>
  </si>
  <si>
    <t>8P9670</t>
  </si>
  <si>
    <t>Alinity c Detergent A</t>
  </si>
  <si>
    <t>8P9781</t>
  </si>
  <si>
    <t>Alinity c Detergent B</t>
  </si>
  <si>
    <t>8P7640</t>
  </si>
  <si>
    <t>Alinity c ICT Reference Solution</t>
  </si>
  <si>
    <t>4x975 mL</t>
  </si>
  <si>
    <t>7P5320</t>
  </si>
  <si>
    <t>Alinity c ICT Sample Diluent</t>
  </si>
  <si>
    <t>10x935 mL</t>
  </si>
  <si>
    <t>8P9870</t>
  </si>
  <si>
    <t>Alinity c Maintenance Solutions</t>
  </si>
  <si>
    <t>4R1001</t>
  </si>
  <si>
    <t>Alinity Calib/Cont Replacement Caps</t>
  </si>
  <si>
    <t>4S1720</t>
  </si>
  <si>
    <t>Alinity c Reagent Cartridge, Black (small)</t>
  </si>
  <si>
    <t>4S1750</t>
  </si>
  <si>
    <t>Alinity c Reagent Cartridge, Black (large)</t>
  </si>
  <si>
    <t>4S1740</t>
  </si>
  <si>
    <t>Alinity c Reagent Cartridge, Clear (large)</t>
  </si>
  <si>
    <t>1R0601</t>
  </si>
  <si>
    <t>ASO Calibrator (Alinity c)</t>
  </si>
  <si>
    <t>6x1 mL</t>
  </si>
  <si>
    <t>1R0901</t>
  </si>
  <si>
    <t>B2-Microglobulin Calibrator (Alinity c)</t>
  </si>
  <si>
    <t>1 liv x3x1 mL</t>
  </si>
  <si>
    <t>9P5202</t>
  </si>
  <si>
    <t>Benzodiazepines Semiquant Calibrator (Alinity c)</t>
  </si>
  <si>
    <t>4x1x2,9 mL</t>
  </si>
  <si>
    <t>8P6101</t>
  </si>
  <si>
    <t>Bilirubin Calibrator Kit (Alinity c)</t>
  </si>
  <si>
    <t>2 liv x(3x5 mL)</t>
  </si>
  <si>
    <t>4Z4202</t>
  </si>
  <si>
    <t>Buprenorphine Calibrator Kit (Alinity c)</t>
  </si>
  <si>
    <t>5x10 mL</t>
  </si>
  <si>
    <t>4Z4404</t>
  </si>
  <si>
    <t>Fentanyl Neg Calibrator Kit (Alinity c)</t>
  </si>
  <si>
    <t>4Z4401</t>
  </si>
  <si>
    <t>Fentanyl Calibrator Kit (Alinity c)</t>
  </si>
  <si>
    <t>8P6503</t>
  </si>
  <si>
    <t>Clinical Chemistry Calibrator Kit Sentinel (Alinity c)</t>
  </si>
  <si>
    <t>1 liv x(4x3 mL)</t>
  </si>
  <si>
    <t>4V6201</t>
  </si>
  <si>
    <t>Cons Chemistry Multiconst Cal (Alinity c)</t>
  </si>
  <si>
    <t>1x6x5 mL</t>
  </si>
  <si>
    <t>7P5602</t>
  </si>
  <si>
    <t>CRP Vario HS Calibrator Kit (Alinity c)</t>
  </si>
  <si>
    <t>8P4101</t>
  </si>
  <si>
    <t>Ethanol Calibrator Kit (Alinity c)</t>
  </si>
  <si>
    <t>Cal Neg 2x3 mL
Cal Pos 1x3 mL</t>
  </si>
  <si>
    <t>8P6901</t>
  </si>
  <si>
    <t>ICT Serum Calibrator Kit (Alinity c)</t>
  </si>
  <si>
    <t>2 liv x(5x2,9 mL)</t>
  </si>
  <si>
    <t>8P7001</t>
  </si>
  <si>
    <t>ICT Urine Calibrator Kit (Alinity c)</t>
  </si>
  <si>
    <t>1R1301</t>
  </si>
  <si>
    <t>IgE Calibrator (Alinity c)</t>
  </si>
  <si>
    <t>5 liv x1x1 mL</t>
  </si>
  <si>
    <t>04U0001</t>
  </si>
  <si>
    <t>Alinity c Lipasi2 Cal</t>
  </si>
  <si>
    <t>1 Liv x (4x3) Ml-&gt; 1x(6x3,3)</t>
  </si>
  <si>
    <t>9P1403</t>
  </si>
  <si>
    <t>Lipid Multiconstituent Calibrator Kit (Alinity c)</t>
  </si>
  <si>
    <t>1 liv x(6x1 mL)</t>
  </si>
  <si>
    <t>8P0404</t>
  </si>
  <si>
    <t>Microalbumin Calibrator Kit (Alinity c)</t>
  </si>
  <si>
    <t>5 liv x 2 mL</t>
  </si>
  <si>
    <t>8P6001</t>
  </si>
  <si>
    <t>Multiconstituent Calibrator Kit (Alinity c)</t>
  </si>
  <si>
    <t>2 liv x(3x2,9 mL)</t>
  </si>
  <si>
    <t>8P6601</t>
  </si>
  <si>
    <t>Plasmaproteins Calibrator Sentinel (Alinity c)</t>
  </si>
  <si>
    <t>1 liv x4x1 mL</t>
  </si>
  <si>
    <t>8P6701</t>
  </si>
  <si>
    <t>Proteins Calibrator (Alinity c)</t>
  </si>
  <si>
    <t>1R1601</t>
  </si>
  <si>
    <t>RF Calibrator (Alinity c)</t>
  </si>
  <si>
    <t>8P6201</t>
  </si>
  <si>
    <t>Specific Proteins Multiconst Cal (Alinity c)</t>
  </si>
  <si>
    <t>5 liv x 1 mL</t>
  </si>
  <si>
    <t>8P7404</t>
  </si>
  <si>
    <t>TDM Multiconstituent Calibrator Kit (Alinity c)</t>
  </si>
  <si>
    <t>6 liv x(1x3 mL)</t>
  </si>
  <si>
    <t>8P5701</t>
  </si>
  <si>
    <t>Total Bile Acids Calibrator Kit (Alinity c)</t>
  </si>
  <si>
    <t>1 liv x5x2,9 mL</t>
  </si>
  <si>
    <t>8P7101</t>
  </si>
  <si>
    <t>Urine/CSF Protein Calibrator Kit (Alinity c)</t>
  </si>
  <si>
    <t>5 liv x(1x3 mL)</t>
  </si>
  <si>
    <t>9P5402</t>
  </si>
  <si>
    <t>Cannabinoids Calibrator Semiq 1 (Alinity c)</t>
  </si>
  <si>
    <t>3x1x3,0 mL</t>
  </si>
  <si>
    <t>8P6302</t>
  </si>
  <si>
    <t>DOA MC Qual Calibrator 2 Kit (Alinity c)</t>
  </si>
  <si>
    <t>1 liv x(1x2,9 mL)</t>
  </si>
  <si>
    <t>8P6303</t>
  </si>
  <si>
    <t>DOA MC Semiquant Calibrator Kit (Alinity c)</t>
  </si>
  <si>
    <t>4 liv x(1x2,9 mL)</t>
  </si>
  <si>
    <t>8P6306</t>
  </si>
  <si>
    <t>DOA MC Negative Calibrator Kit (Alinity c)</t>
  </si>
  <si>
    <t>1 liv x(6x3 mL)</t>
  </si>
  <si>
    <t>9P5802</t>
  </si>
  <si>
    <t>Ecstasy Semiquant Calibrator Kit (Alinity c)</t>
  </si>
  <si>
    <t>4 liv x(1x3 mL)</t>
  </si>
  <si>
    <t>9P6502</t>
  </si>
  <si>
    <t>Opiates Semiquant Calibrator Kit (Alinity c)</t>
  </si>
  <si>
    <t>0L10701</t>
  </si>
  <si>
    <t>Cu-Zn Calibrator (SGM )</t>
  </si>
  <si>
    <t>1 liv x4x5 mL</t>
  </si>
  <si>
    <t>0LA20380</t>
  </si>
  <si>
    <t>Cystatin C Calibrator (SGM)</t>
  </si>
  <si>
    <t>1 liv x5x1 mL</t>
  </si>
  <si>
    <t>0LT020</t>
  </si>
  <si>
    <t>suPar Calibrator (BSN)</t>
  </si>
  <si>
    <t>0LH0030123344</t>
  </si>
  <si>
    <t>Cuvette per centrifuga 2,0 mL</t>
  </si>
  <si>
    <t>0LCAN068</t>
  </si>
  <si>
    <t>Alinity c Etichette Reagenti Chimica Terze Parti (0LCAN068)</t>
  </si>
  <si>
    <t>480 etichette</t>
  </si>
  <si>
    <t>GLP</t>
  </si>
  <si>
    <t>6Q0801</t>
  </si>
  <si>
    <t>Sacche monouso per stappatore (confezione contenente 350 pezzi) 100%</t>
  </si>
  <si>
    <t>350 pz.</t>
  </si>
  <si>
    <t>6Q1001</t>
  </si>
  <si>
    <t>Tappi di chiusura S</t>
  </si>
  <si>
    <t>3000 (4x750) pz.</t>
  </si>
  <si>
    <t>6Q1011</t>
  </si>
  <si>
    <t>Tappi di chiusura L</t>
  </si>
  <si>
    <t>6Q13-01/51</t>
  </si>
  <si>
    <t>Puntali per aliquotatore (confezione contenente 3.840 pezzi)</t>
  </si>
  <si>
    <t>3840 pz.</t>
  </si>
  <si>
    <t>6Q1402</t>
  </si>
  <si>
    <t>Provette secondarie con tappo a pressione 13 x 75 mm (conf. 1.500 pezzi)</t>
  </si>
  <si>
    <t>1500 pz.</t>
  </si>
  <si>
    <t>6Q1601</t>
  </si>
  <si>
    <t>Etichette termotrasferibili per aliquote (2 rotoli da 5.000 etichette ciasc)</t>
  </si>
  <si>
    <t>2x5000 etichette</t>
  </si>
  <si>
    <t>6Q1701</t>
  </si>
  <si>
    <t>Sacche monouso per aliquotatore (confezione contenente 500 pezzi)</t>
  </si>
  <si>
    <t>500 pz.</t>
  </si>
  <si>
    <t>6Q4701</t>
  </si>
  <si>
    <t>Drip Pan (40 pcs)</t>
  </si>
  <si>
    <t>40 pz.</t>
  </si>
  <si>
    <t>4Z9801</t>
  </si>
  <si>
    <t>GLP FlexRacks</t>
  </si>
  <si>
    <t>24 pz.</t>
  </si>
  <si>
    <t>6R3411</t>
  </si>
  <si>
    <t>Chargelane Slave</t>
  </si>
  <si>
    <t>6R3401</t>
  </si>
  <si>
    <t>Chargelane Master</t>
  </si>
  <si>
    <t>4Z9561</t>
  </si>
  <si>
    <t>Box 12 CARs</t>
  </si>
  <si>
    <t>12 pz.</t>
  </si>
  <si>
    <t>6R9201</t>
  </si>
  <si>
    <t>CAR Useal</t>
  </si>
  <si>
    <t>6S6601</t>
  </si>
  <si>
    <t>Finger kit</t>
  </si>
  <si>
    <t>6T2201</t>
  </si>
  <si>
    <t>Container click-lid</t>
  </si>
  <si>
    <t>9 pz.</t>
  </si>
  <si>
    <t>6T2101</t>
  </si>
  <si>
    <t>Contenitore Storage 30L</t>
  </si>
  <si>
    <t>6T2402</t>
  </si>
  <si>
    <t>Disposal Tubing</t>
  </si>
  <si>
    <t>CONS</t>
  </si>
  <si>
    <t>Zebra Technol</t>
  </si>
  <si>
    <t>0L880199025D</t>
  </si>
  <si>
    <t>Etichette Zebrabar 25x51 mm</t>
  </si>
  <si>
    <t>2580 etichette x 12 rotoli</t>
  </si>
  <si>
    <t>HP</t>
  </si>
  <si>
    <t>0LCF294A</t>
  </si>
  <si>
    <t>Toner HP Laserjet pro M118DW</t>
  </si>
  <si>
    <t>LEXMARK</t>
  </si>
  <si>
    <t>0L56F0Z00</t>
  </si>
  <si>
    <t>TAMBURO LEXMARK MS 521</t>
  </si>
  <si>
    <t>0L56F2000</t>
  </si>
  <si>
    <t>Toner lexmark MS 521DN</t>
  </si>
  <si>
    <t>Fedrigoni</t>
  </si>
  <si>
    <t>0A4500</t>
  </si>
  <si>
    <t>Carta</t>
  </si>
  <si>
    <t>500 fogli</t>
  </si>
  <si>
    <t>Cal Aus</t>
  </si>
  <si>
    <t>9P1901</t>
  </si>
  <si>
    <t>Alinity i Chagas Calibratore</t>
  </si>
  <si>
    <t>1x3 mL</t>
  </si>
  <si>
    <t>9P4001</t>
  </si>
  <si>
    <t>Alinity i Cyfra 21.1 Calibratori</t>
  </si>
  <si>
    <t>9P6001</t>
  </si>
  <si>
    <t>Alinity i Galectina-3 Calibratore</t>
  </si>
  <si>
    <t>1R1901</t>
  </si>
  <si>
    <t>Alinity i NSE Calibratori</t>
  </si>
  <si>
    <t>9P2401</t>
  </si>
  <si>
    <t>Alinity i Pepsinogeno I Calibratori</t>
  </si>
  <si>
    <t>9P2501</t>
  </si>
  <si>
    <t>Alinity i Pepsinogeno II Calibratori</t>
  </si>
  <si>
    <t>1R1701</t>
  </si>
  <si>
    <t>Alinity i PIVKA  II Calibratori</t>
  </si>
  <si>
    <t>9P3201</t>
  </si>
  <si>
    <t>Alinity i ProGRP Calibratori</t>
  </si>
  <si>
    <t>9P3301</t>
  </si>
  <si>
    <t>Alinity i SCC Calibratore</t>
  </si>
  <si>
    <t>GLP - PRE</t>
  </si>
  <si>
    <t>06Q1951</t>
  </si>
  <si>
    <t>GLP SCREWCAPS (680 tappi)</t>
  </si>
  <si>
    <t>680 pezzi</t>
  </si>
  <si>
    <t>25-30</t>
  </si>
  <si>
    <t>06Q1461</t>
  </si>
  <si>
    <t>GLP SECONDARY TUBES (SCREW)</t>
  </si>
  <si>
    <t>07V7003</t>
  </si>
  <si>
    <t>Z-SELECT 2000D THERMAL PAPER LABELS ROLL</t>
  </si>
  <si>
    <t>06R4001</t>
  </si>
  <si>
    <t>GLP TRAY SCR TBS</t>
  </si>
  <si>
    <t>6T3201</t>
  </si>
  <si>
    <t>Alinity c CYS C Calibratori</t>
  </si>
  <si>
    <t>5x1 ml</t>
  </si>
  <si>
    <t>QC</t>
  </si>
  <si>
    <t>6T3210</t>
  </si>
  <si>
    <t>Alinity c CYS C Controlli</t>
  </si>
  <si>
    <t>2x1,1 ml</t>
  </si>
  <si>
    <t>8P8810</t>
  </si>
  <si>
    <t>MULTI S 1</t>
  </si>
  <si>
    <t>8P8811</t>
  </si>
  <si>
    <t>MULTI S 2</t>
  </si>
  <si>
    <t>8P8812</t>
  </si>
  <si>
    <t>MULTI S 3</t>
  </si>
  <si>
    <t>8P8610</t>
  </si>
  <si>
    <t>MULTI IA</t>
  </si>
  <si>
    <t>8P8910</t>
  </si>
  <si>
    <t xml:space="preserve">MULTI U </t>
  </si>
  <si>
    <t xml:space="preserve">4S1610 </t>
  </si>
  <si>
    <t>WBT</t>
  </si>
  <si>
    <t>07P6001 </t>
  </si>
  <si>
    <t xml:space="preserve">ALINITY I SYPHILIS TP CAL </t>
  </si>
  <si>
    <t>04V3701</t>
  </si>
  <si>
    <t>Alinity i STAT Myoglobin Cals</t>
  </si>
  <si>
    <t>1x6 mL</t>
  </si>
  <si>
    <t>OMOCISTEINA</t>
  </si>
  <si>
    <t xml:space="preserve">tHCY-DIL; tHCY-UNDIL; </t>
  </si>
  <si>
    <t>09P2820</t>
  </si>
  <si>
    <t>Alinity i Homocysteine Reagent</t>
  </si>
  <si>
    <t>09P2801</t>
  </si>
  <si>
    <t>Alinity i Homocysteine Calibratori</t>
  </si>
  <si>
    <t>6x3mL</t>
  </si>
  <si>
    <t>TRAb</t>
  </si>
  <si>
    <t>04V1822</t>
  </si>
  <si>
    <t>Alinity i TRAb Reagent</t>
  </si>
  <si>
    <t>04V1801</t>
  </si>
  <si>
    <t>Alinity i TRAb Calibrator Kit</t>
  </si>
  <si>
    <t>04V1810</t>
  </si>
  <si>
    <t>Alinity i TRAb Control Kit</t>
  </si>
  <si>
    <t>3x8mL</t>
  </si>
  <si>
    <t>VANCOMICINA</t>
  </si>
  <si>
    <t>Vancomycin</t>
  </si>
  <si>
    <t>08P5220</t>
  </si>
  <si>
    <t>Alinity c Vancomycin Reagent</t>
  </si>
  <si>
    <t>BARBITURICI</t>
  </si>
  <si>
    <t>BarbSQ</t>
  </si>
  <si>
    <t>09P5120</t>
  </si>
  <si>
    <t>Alinity c Barbiturates Reagent</t>
  </si>
  <si>
    <t>KAPPA</t>
  </si>
  <si>
    <t>LAMBDA</t>
  </si>
  <si>
    <t>ASSAY_NUMBER</t>
  </si>
  <si>
    <t>- tutto -</t>
  </si>
  <si>
    <t>Sum of TOT/MM</t>
  </si>
  <si>
    <t>MODULE_TYPE</t>
  </si>
  <si>
    <t>ASSAY_NAME</t>
  </si>
  <si>
    <t>Alinity c</t>
  </si>
  <si>
    <t>Alinity i</t>
  </si>
  <si>
    <t>(vuoto)</t>
  </si>
  <si>
    <t>Totale Risultato</t>
  </si>
  <si>
    <t>AMY2-UF</t>
  </si>
  <si>
    <t>CaC2</t>
  </si>
  <si>
    <t>CaC2-U</t>
  </si>
  <si>
    <t>Cl-C</t>
  </si>
  <si>
    <t>Cl-CU</t>
  </si>
  <si>
    <t>CrEnz</t>
  </si>
  <si>
    <t>CrEnzU</t>
  </si>
  <si>
    <t>G6PD NURA</t>
  </si>
  <si>
    <t>G6PD NURB</t>
  </si>
  <si>
    <t>G6PDH NUR</t>
  </si>
  <si>
    <t>Gentamicin</t>
  </si>
  <si>
    <t>Glucose</t>
  </si>
  <si>
    <t>Glucose CU</t>
  </si>
  <si>
    <t>HBsAg dil</t>
  </si>
  <si>
    <t>Hemolysis</t>
  </si>
  <si>
    <t>HILref</t>
  </si>
  <si>
    <t>Icterus</t>
  </si>
  <si>
    <t>K-C</t>
  </si>
  <si>
    <t>K-CU</t>
  </si>
  <si>
    <t>Lipemia</t>
  </si>
  <si>
    <t>Magnesium</t>
  </si>
  <si>
    <t>MagnesiumU</t>
  </si>
  <si>
    <t>Na-C</t>
  </si>
  <si>
    <t>Na-CU</t>
  </si>
  <si>
    <t>Phos2</t>
  </si>
  <si>
    <t>Phos2-U</t>
  </si>
  <si>
    <t>Tg</t>
  </si>
  <si>
    <t>tHCY-DIL</t>
  </si>
  <si>
    <t>tHCY-UNDIL</t>
  </si>
  <si>
    <t>Urea</t>
  </si>
  <si>
    <t>UreaU</t>
  </si>
  <si>
    <t>Uric2</t>
  </si>
  <si>
    <t>Uric2-U</t>
  </si>
  <si>
    <t>MODULE_SERIAL</t>
  </si>
  <si>
    <t>PATIENTS_ATTEMPTED</t>
  </si>
  <si>
    <t>PATIENTS_COMPLETED</t>
  </si>
  <si>
    <t>PATIENTS_RETESTED</t>
  </si>
  <si>
    <t>PATIENTS_DILUTED</t>
  </si>
  <si>
    <t>CALIBRATORS_ATTEMPTED</t>
  </si>
  <si>
    <t>CONTROLS_ATTEMPTED</t>
  </si>
  <si>
    <t>CONTROLS_COMPLETED</t>
  </si>
  <si>
    <t>TOTAL_ATTEMPTED</t>
  </si>
  <si>
    <t>TOT/MM</t>
  </si>
  <si>
    <t>AC04860</t>
  </si>
  <si>
    <t>AI22529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</si>
</sst>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charset val="1"/>
    </font>
    <font>
      <b/>
      <sz val="11"/>
      <color theme="1"/>
      <name val="Aptos Narrow"/>
      <family val="2"/>
      <charset val="1"/>
    </font>
    <font>
      <sz val="9"/>
      <name val="Segoe UI"/>
      <family val="2"/>
      <charset val="1"/>
    </font>
    <font>
      <b/>
      <sz val="9"/>
      <name val="Segoe UI"/>
      <family val="2"/>
      <charset val="1"/>
    </font>
    <font>
      <b/>
      <sz val="11"/>
      <color rgb="FFFF0000"/>
      <name val="Aptos Narrow"/>
      <family val="2"/>
      <charset val="1"/>
    </font>
    <font>
      <i/>
      <sz val="11"/>
      <color rgb="FF0070C0"/>
      <name val="Aptos Narrow"/>
      <family val="2"/>
      <charset val="1"/>
    </font>
    <font>
      <b/>
      <i/>
      <sz val="11"/>
      <color rgb="FF0070C0"/>
      <name val="Aptos Narrow"/>
      <family val="2"/>
      <charset val="1"/>
    </font>
    <font>
      <sz val="11"/>
      <color rgb="FFFF0000"/>
      <name val="Aptos Narrow"/>
      <family val="2"/>
      <charset val="1"/>
    </font>
    <font>
      <sz val="11"/>
      <color theme="8" tint="0.39988402966399123"/>
      <name val="Aptos Narrow"/>
      <family val="2"/>
      <charset val="1"/>
    </font>
    <font>
      <b/>
      <sz val="11"/>
      <color theme="8" tint="0.39988402966399123"/>
      <name val="Aptos Narrow"/>
      <family val="2"/>
      <charset val="1"/>
    </font>
    <font>
      <sz val="11"/>
      <color rgb="FF212121"/>
      <name val="Aptos"/>
      <family val="2"/>
      <charset val="1"/>
    </font>
    <font>
      <sz val="11"/>
      <name val="Aptos"/>
      <family val="2"/>
      <charset val="1"/>
    </font>
    <font>
      <sz val="11"/>
      <name val="Aptos Narrow"/>
      <family val="2"/>
      <charset val="1"/>
    </font>
    <font>
      <sz val="11"/>
      <color theme="1"/>
      <name val="Aptos Narrow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theme="0"/>
        <bgColor rgb="FFFFFFCC"/>
      </patternFill>
    </fill>
    <fill>
      <patternFill patternType="solid">
        <fgColor theme="8" tint="0.79989013336588644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theme="1" tint="0.49989318521683401"/>
        <bgColor rgb="FF808080"/>
      </patternFill>
    </fill>
    <fill>
      <patternFill patternType="solid">
        <fgColor theme="0" tint="-0.499984740745262"/>
        <bgColor rgb="FF7F7F7F"/>
      </patternFill>
    </fill>
    <fill>
      <patternFill patternType="solid">
        <fgColor rgb="FFFFC000"/>
        <bgColor rgb="FFFF9900"/>
      </patternFill>
    </fill>
    <fill>
      <patternFill patternType="solid">
        <fgColor rgb="FF00B0F0"/>
        <bgColor rgb="FF33CCCC"/>
      </patternFill>
    </fill>
    <fill>
      <patternFill patternType="solid">
        <fgColor rgb="FFFF0000"/>
        <bgColor rgb="FF993300"/>
      </patternFill>
    </fill>
    <fill>
      <patternFill patternType="solid">
        <fgColor theme="0" tint="-0.14999847407452621"/>
        <bgColor rgb="FFF2CFEE"/>
      </patternFill>
    </fill>
    <fill>
      <patternFill patternType="solid">
        <fgColor theme="1" tint="0.14999847407452621"/>
        <bgColor rgb="FF212121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7">
    <xf numFmtId="0" fontId="0" fillId="0" borderId="0"/>
    <xf numFmtId="0" fontId="13" fillId="0" borderId="0" applyBorder="0" applyProtection="0"/>
    <xf numFmtId="0" fontId="13" fillId="0" borderId="0" applyBorder="0" applyProtection="0"/>
    <xf numFmtId="0" fontId="13" fillId="0" borderId="0" applyBorder="0" applyProtection="0"/>
    <xf numFmtId="0" fontId="13" fillId="0" borderId="0" applyBorder="0" applyProtection="0">
      <alignment horizontal="left"/>
    </xf>
    <xf numFmtId="0" fontId="1" fillId="0" borderId="0" applyBorder="0" applyProtection="0">
      <alignment horizontal="left"/>
    </xf>
    <xf numFmtId="0" fontId="1" fillId="0" borderId="0" applyBorder="0" applyProtection="0"/>
  </cellStyleXfs>
  <cellXfs count="111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/>
    </xf>
    <xf numFmtId="0" fontId="1" fillId="0" borderId="1" xfId="0" applyFont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left" vertical="center" wrapText="1"/>
    </xf>
    <xf numFmtId="0" fontId="0" fillId="4" borderId="1" xfId="0" applyFill="1" applyBorder="1" applyAlignment="1">
      <alignment horizontal="left" vertical="top"/>
    </xf>
    <xf numFmtId="1" fontId="0" fillId="0" borderId="1" xfId="0" applyNumberFormat="1" applyBorder="1" applyAlignment="1">
      <alignment horizontal="left" vertical="top"/>
    </xf>
    <xf numFmtId="164" fontId="0" fillId="0" borderId="1" xfId="0" applyNumberForma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left" vertical="top"/>
    </xf>
    <xf numFmtId="0" fontId="0" fillId="7" borderId="1" xfId="0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left" vertical="top"/>
    </xf>
    <xf numFmtId="0" fontId="0" fillId="6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1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left" vertical="top"/>
    </xf>
    <xf numFmtId="1" fontId="0" fillId="7" borderId="1" xfId="0" applyNumberFormat="1" applyFill="1" applyBorder="1" applyAlignment="1">
      <alignment horizontal="left" vertical="top"/>
    </xf>
    <xf numFmtId="0" fontId="0" fillId="7" borderId="1" xfId="0" applyFill="1" applyBorder="1" applyAlignment="1">
      <alignment horizontal="center"/>
    </xf>
    <xf numFmtId="0" fontId="1" fillId="0" borderId="1" xfId="0" applyFont="1" applyBorder="1" applyAlignment="1">
      <alignment horizontal="left" vertical="top"/>
    </xf>
    <xf numFmtId="49" fontId="3" fillId="3" borderId="1" xfId="0" applyNumberFormat="1" applyFont="1" applyFill="1" applyBorder="1" applyAlignment="1">
      <alignment horizontal="left" vertical="center" wrapText="1"/>
    </xf>
    <xf numFmtId="164" fontId="1" fillId="0" borderId="1" xfId="0" applyNumberFormat="1" applyFont="1" applyBorder="1" applyAlignment="1">
      <alignment horizontal="center"/>
    </xf>
    <xf numFmtId="0" fontId="0" fillId="5" borderId="1" xfId="0" applyFont="1" applyFill="1" applyBorder="1" applyAlignment="1">
      <alignment horizontal="left" vertical="top"/>
    </xf>
    <xf numFmtId="49" fontId="2" fillId="5" borderId="1" xfId="0" applyNumberFormat="1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top"/>
    </xf>
    <xf numFmtId="164" fontId="0" fillId="5" borderId="1" xfId="0" applyNumberFormat="1" applyFill="1" applyBorder="1" applyAlignment="1">
      <alignment horizontal="center"/>
    </xf>
    <xf numFmtId="0" fontId="0" fillId="5" borderId="0" xfId="0" applyFill="1"/>
    <xf numFmtId="1" fontId="0" fillId="7" borderId="1" xfId="0" applyNumberForma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8" borderId="1" xfId="0" applyFill="1" applyBorder="1" applyAlignment="1">
      <alignment horizontal="left" vertical="top"/>
    </xf>
    <xf numFmtId="0" fontId="4" fillId="0" borderId="1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" fontId="0" fillId="5" borderId="1" xfId="0" applyNumberFormat="1" applyFont="1" applyFill="1" applyBorder="1" applyAlignment="1">
      <alignment horizontal="left" vertical="top"/>
    </xf>
    <xf numFmtId="0" fontId="1" fillId="9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top"/>
    </xf>
    <xf numFmtId="0" fontId="1" fillId="8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1" fillId="0" borderId="1" xfId="0" applyFont="1" applyBorder="1" applyAlignment="1">
      <alignment horizontal="left" vertical="top"/>
    </xf>
    <xf numFmtId="0" fontId="1" fillId="8" borderId="1" xfId="0" applyFont="1" applyFill="1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0" fontId="0" fillId="5" borderId="1" xfId="0" applyFill="1" applyBorder="1" applyAlignment="1">
      <alignment horizontal="center" vertical="center"/>
    </xf>
    <xf numFmtId="0" fontId="5" fillId="0" borderId="1" xfId="0" applyFont="1" applyBorder="1" applyAlignment="1">
      <alignment horizontal="left" vertical="top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0" fontId="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/>
    </xf>
    <xf numFmtId="17" fontId="7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8" fillId="0" borderId="1" xfId="0" applyFont="1" applyBorder="1" applyAlignment="1">
      <alignment horizontal="left" vertical="top"/>
    </xf>
    <xf numFmtId="0" fontId="9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top"/>
    </xf>
    <xf numFmtId="0" fontId="6" fillId="0" borderId="1" xfId="0" applyFont="1" applyBorder="1" applyAlignment="1">
      <alignment horizontal="left" vertical="top"/>
    </xf>
    <xf numFmtId="0" fontId="0" fillId="2" borderId="1" xfId="0" applyFont="1" applyFill="1" applyBorder="1" applyAlignment="1">
      <alignment horizontal="left" vertical="top"/>
    </xf>
    <xf numFmtId="0" fontId="0" fillId="2" borderId="1" xfId="0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/>
    </xf>
    <xf numFmtId="0" fontId="0" fillId="10" borderId="1" xfId="0" applyFont="1" applyFill="1" applyBorder="1" applyAlignment="1">
      <alignment horizontal="left" vertical="top"/>
    </xf>
    <xf numFmtId="0" fontId="1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0" fillId="0" borderId="1" xfId="0" applyFont="1" applyBorder="1"/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0" fillId="0" borderId="1" xfId="0" applyFont="1" applyBorder="1"/>
    <xf numFmtId="0" fontId="0" fillId="4" borderId="0" xfId="0" applyFill="1" applyAlignment="1">
      <alignment horizontal="left" vertical="top"/>
    </xf>
    <xf numFmtId="0" fontId="0" fillId="0" borderId="2" xfId="0" applyFont="1" applyBorder="1" applyAlignment="1">
      <alignment horizontal="left" vertical="top"/>
    </xf>
    <xf numFmtId="0" fontId="1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1" xfId="0" applyFont="1" applyBorder="1" applyAlignment="1">
      <alignment horizontal="left"/>
    </xf>
    <xf numFmtId="0" fontId="11" fillId="0" borderId="1" xfId="0" applyFont="1" applyBorder="1"/>
    <xf numFmtId="0" fontId="1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/>
    </xf>
    <xf numFmtId="0" fontId="12" fillId="0" borderId="1" xfId="0" applyFont="1" applyBorder="1" applyAlignment="1">
      <alignment horizontal="left" vertical="top"/>
    </xf>
    <xf numFmtId="0" fontId="0" fillId="12" borderId="1" xfId="0" applyFill="1" applyBorder="1" applyAlignment="1">
      <alignment horizontal="left" vertical="top"/>
    </xf>
    <xf numFmtId="0" fontId="1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7" fillId="12" borderId="1" xfId="0" applyFont="1" applyFill="1" applyBorder="1" applyAlignment="1">
      <alignment horizontal="left" vertical="top"/>
    </xf>
    <xf numFmtId="0" fontId="0" fillId="12" borderId="1" xfId="0" applyFill="1" applyBorder="1" applyAlignment="1">
      <alignment horizontal="center"/>
    </xf>
    <xf numFmtId="0" fontId="0" fillId="0" borderId="0" xfId="1" applyFont="1"/>
    <xf numFmtId="0" fontId="0" fillId="0" borderId="1" xfId="0" applyFont="1" applyBorder="1"/>
    <xf numFmtId="0" fontId="0" fillId="0" borderId="4" xfId="2" applyFont="1" applyBorder="1"/>
    <xf numFmtId="0" fontId="0" fillId="0" borderId="5" xfId="1" applyFont="1" applyBorder="1"/>
    <xf numFmtId="0" fontId="13" fillId="0" borderId="6" xfId="2" applyBorder="1"/>
    <xf numFmtId="0" fontId="13" fillId="0" borderId="7" xfId="2" applyBorder="1"/>
    <xf numFmtId="0" fontId="0" fillId="0" borderId="8" xfId="1" applyFont="1" applyBorder="1"/>
    <xf numFmtId="0" fontId="0" fillId="0" borderId="1" xfId="4" applyFont="1" applyBorder="1">
      <alignment horizontal="left"/>
    </xf>
    <xf numFmtId="0" fontId="1" fillId="0" borderId="9" xfId="5" applyFont="1" applyBorder="1">
      <alignment horizontal="left"/>
    </xf>
    <xf numFmtId="0" fontId="0" fillId="0" borderId="8" xfId="4" applyFont="1" applyBorder="1">
      <alignment horizontal="left"/>
    </xf>
    <xf numFmtId="1" fontId="13" fillId="0" borderId="1" xfId="3" applyNumberFormat="1" applyBorder="1"/>
    <xf numFmtId="1" fontId="1" fillId="0" borderId="9" xfId="6" applyNumberFormat="1" applyBorder="1"/>
    <xf numFmtId="0" fontId="13" fillId="0" borderId="1" xfId="3" applyBorder="1"/>
    <xf numFmtId="0" fontId="1" fillId="0" borderId="9" xfId="6" applyBorder="1"/>
    <xf numFmtId="0" fontId="1" fillId="0" borderId="10" xfId="5" applyFont="1" applyBorder="1">
      <alignment horizontal="left"/>
    </xf>
    <xf numFmtId="0" fontId="1" fillId="0" borderId="11" xfId="6" applyBorder="1"/>
    <xf numFmtId="0" fontId="1" fillId="0" borderId="12" xfId="6" applyBorder="1"/>
  </cellXfs>
  <cellStyles count="7">
    <cellStyle name="Angolo tabella pivot" xfId="2" xr:uid="{00000000-0005-0000-0000-000007000000}"/>
    <cellStyle name="Campo tabella pivot" xfId="1" xr:uid="{00000000-0005-0000-0000-000006000000}"/>
    <cellStyle name="Categoria tabella pivot" xfId="4" xr:uid="{00000000-0005-0000-0000-000009000000}"/>
    <cellStyle name="Normale" xfId="0" builtinId="0"/>
    <cellStyle name="Risultato tabella pivot" xfId="6" xr:uid="{00000000-0005-0000-0000-00000B000000}"/>
    <cellStyle name="Titolo tabella pivot" xfId="5" xr:uid="{00000000-0005-0000-0000-00000A000000}"/>
    <cellStyle name="Valore tabella pivot" xfId="3" xr:uid="{00000000-0005-0000-0000-000008000000}"/>
  </cellStyles>
  <dxfs count="9"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" formatCode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D86ECC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2CFEE"/>
      <rgbColor rgb="FF3366FF"/>
      <rgbColor rgb="FF33CCCC"/>
      <rgbColor rgb="FF92D050"/>
      <rgbColor rgb="FFFFC000"/>
      <rgbColor rgb="FFFF9900"/>
      <rgbColor rgb="FFFF6600"/>
      <rgbColor rgb="FF666699"/>
      <rgbColor rgb="FF7F7F7F"/>
      <rgbColor rgb="FF003366"/>
      <rgbColor rgb="FF339966"/>
      <rgbColor rgb="FF003300"/>
      <rgbColor rgb="FF212121"/>
      <rgbColor rgb="FF993300"/>
      <rgbColor rgb="FF993366"/>
      <rgbColor rgb="FF33339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../../ferrifx1/AppData/Local/Microsoft/Windows/INetCache/Content.Outlook/6NJRM7UZ/Instrument%20Summary%20(1)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Instrument Summary (1)"/>
    </sheetNames>
    <sheetDataSet>
      <sheetData sheetId="0">
        <row r="5">
          <cell r="A5" t="str">
            <v>a1AGP</v>
          </cell>
          <cell r="B5">
            <v>102</v>
          </cell>
          <cell r="E5">
            <v>102</v>
          </cell>
        </row>
        <row r="6">
          <cell r="A6" t="str">
            <v>a1AT</v>
          </cell>
          <cell r="B6">
            <v>118.666666666667</v>
          </cell>
          <cell r="E6">
            <v>118.666666666667</v>
          </cell>
        </row>
        <row r="7">
          <cell r="A7" t="str">
            <v>A-ALT</v>
          </cell>
          <cell r="B7">
            <v>15328</v>
          </cell>
          <cell r="E7">
            <v>15328</v>
          </cell>
        </row>
        <row r="8">
          <cell r="A8" t="str">
            <v>A-AST</v>
          </cell>
          <cell r="B8">
            <v>14228.333333333299</v>
          </cell>
          <cell r="E8">
            <v>14228.333333333299</v>
          </cell>
        </row>
        <row r="9">
          <cell r="A9" t="str">
            <v>AFP</v>
          </cell>
          <cell r="C9">
            <v>392</v>
          </cell>
          <cell r="E9">
            <v>392</v>
          </cell>
        </row>
        <row r="10">
          <cell r="A10" t="str">
            <v>AlbBCG2</v>
          </cell>
          <cell r="B10">
            <v>1439</v>
          </cell>
          <cell r="E10">
            <v>1439</v>
          </cell>
        </row>
        <row r="11">
          <cell r="A11" t="str">
            <v>AlkP2F</v>
          </cell>
          <cell r="B11">
            <v>3508</v>
          </cell>
          <cell r="E11">
            <v>3508</v>
          </cell>
        </row>
        <row r="12">
          <cell r="A12" t="str">
            <v>Ammonia</v>
          </cell>
          <cell r="B12">
            <v>302</v>
          </cell>
          <cell r="E12">
            <v>302</v>
          </cell>
        </row>
        <row r="13">
          <cell r="A13" t="str">
            <v>AmpSQ</v>
          </cell>
          <cell r="B13">
            <v>341.66666666666703</v>
          </cell>
          <cell r="E13">
            <v>341.66666666666703</v>
          </cell>
        </row>
        <row r="14">
          <cell r="A14" t="str">
            <v>AMY2F</v>
          </cell>
          <cell r="B14">
            <v>1310.3333333333301</v>
          </cell>
          <cell r="E14">
            <v>1310.3333333333301</v>
          </cell>
        </row>
        <row r="15">
          <cell r="A15" t="str">
            <v>AMY2-UF</v>
          </cell>
          <cell r="B15">
            <v>203.333333333333</v>
          </cell>
          <cell r="E15">
            <v>203.333333333333</v>
          </cell>
        </row>
        <row r="16">
          <cell r="A16" t="str">
            <v>Anti-HBc</v>
          </cell>
          <cell r="C16">
            <v>515</v>
          </cell>
          <cell r="E16">
            <v>515</v>
          </cell>
        </row>
        <row r="17">
          <cell r="A17" t="str">
            <v>Anti-HBc M</v>
          </cell>
          <cell r="C17">
            <v>417.66666666666703</v>
          </cell>
          <cell r="E17">
            <v>417.66666666666703</v>
          </cell>
        </row>
        <row r="18">
          <cell r="A18" t="str">
            <v>Anti-HBe</v>
          </cell>
          <cell r="C18">
            <v>416.33333333333297</v>
          </cell>
          <cell r="E18">
            <v>416.33333333333297</v>
          </cell>
        </row>
        <row r="19">
          <cell r="A19" t="str">
            <v>AntiHBsdil</v>
          </cell>
          <cell r="C19">
            <v>1334.3333333333301</v>
          </cell>
          <cell r="E19">
            <v>1334.3333333333301</v>
          </cell>
        </row>
        <row r="20">
          <cell r="A20" t="str">
            <v>Anti-HCVII</v>
          </cell>
          <cell r="C20">
            <v>1598.3333333333301</v>
          </cell>
          <cell r="E20">
            <v>1598.3333333333301</v>
          </cell>
        </row>
        <row r="21">
          <cell r="A21" t="str">
            <v>Anti-Tg</v>
          </cell>
          <cell r="C21">
            <v>767.33333333333303</v>
          </cell>
          <cell r="E21">
            <v>767.33333333333303</v>
          </cell>
        </row>
        <row r="22">
          <cell r="A22" t="str">
            <v>Anti-TPO</v>
          </cell>
          <cell r="C22">
            <v>730.33333333333303</v>
          </cell>
          <cell r="E22">
            <v>730.33333333333303</v>
          </cell>
        </row>
        <row r="23">
          <cell r="A23" t="str">
            <v>APOA1</v>
          </cell>
          <cell r="B23">
            <v>130.666666666667</v>
          </cell>
          <cell r="E23">
            <v>130.666666666667</v>
          </cell>
        </row>
        <row r="24">
          <cell r="A24" t="str">
            <v>APOB</v>
          </cell>
          <cell r="B24">
            <v>196.666666666667</v>
          </cell>
          <cell r="E24">
            <v>196.666666666667</v>
          </cell>
        </row>
        <row r="25">
          <cell r="A25" t="str">
            <v>ASO</v>
          </cell>
          <cell r="B25">
            <v>170.666666666667</v>
          </cell>
          <cell r="E25">
            <v>170.666666666667</v>
          </cell>
        </row>
        <row r="26">
          <cell r="A26" t="str">
            <v>B2M</v>
          </cell>
          <cell r="B26">
            <v>290.33333333333297</v>
          </cell>
          <cell r="E26">
            <v>290.33333333333297</v>
          </cell>
        </row>
        <row r="27">
          <cell r="A27" t="str">
            <v>BarbSQ</v>
          </cell>
          <cell r="B27">
            <v>98.3333333333333</v>
          </cell>
          <cell r="E27">
            <v>98.3333333333333</v>
          </cell>
        </row>
        <row r="28">
          <cell r="A28" t="str">
            <v>BenzSQ</v>
          </cell>
          <cell r="B28">
            <v>420</v>
          </cell>
          <cell r="E28">
            <v>420</v>
          </cell>
        </row>
        <row r="29">
          <cell r="A29" t="str">
            <v>B-hCG</v>
          </cell>
          <cell r="C29">
            <v>515.66666666666697</v>
          </cell>
          <cell r="E29">
            <v>515.66666666666697</v>
          </cell>
        </row>
        <row r="30">
          <cell r="A30" t="str">
            <v>Bile Acids</v>
          </cell>
          <cell r="B30">
            <v>159.666666666667</v>
          </cell>
          <cell r="E30">
            <v>159.666666666667</v>
          </cell>
        </row>
        <row r="31">
          <cell r="A31" t="str">
            <v>Bili D</v>
          </cell>
          <cell r="B31">
            <v>9057.3333333333303</v>
          </cell>
          <cell r="E31">
            <v>9057.3333333333303</v>
          </cell>
        </row>
        <row r="32">
          <cell r="A32" t="str">
            <v>BNP</v>
          </cell>
          <cell r="C32">
            <v>1566.6666666666699</v>
          </cell>
          <cell r="E32">
            <v>1566.6666666666699</v>
          </cell>
        </row>
        <row r="33">
          <cell r="A33" t="str">
            <v>BUP SQ</v>
          </cell>
          <cell r="B33">
            <v>210.666666666667</v>
          </cell>
          <cell r="E33">
            <v>210.666666666667</v>
          </cell>
        </row>
        <row r="34">
          <cell r="A34" t="str">
            <v>C3</v>
          </cell>
          <cell r="B34">
            <v>236</v>
          </cell>
          <cell r="E34">
            <v>236</v>
          </cell>
        </row>
        <row r="35">
          <cell r="A35" t="str">
            <v>C4</v>
          </cell>
          <cell r="B35">
            <v>239.666666666667</v>
          </cell>
          <cell r="E35">
            <v>239.666666666667</v>
          </cell>
        </row>
        <row r="36">
          <cell r="A36" t="str">
            <v>CA 125 II</v>
          </cell>
          <cell r="C36">
            <v>441.66666666666703</v>
          </cell>
          <cell r="E36">
            <v>441.66666666666703</v>
          </cell>
        </row>
        <row r="37">
          <cell r="A37" t="str">
            <v>CA 15-3</v>
          </cell>
          <cell r="C37">
            <v>491.66666666666703</v>
          </cell>
          <cell r="E37">
            <v>491.66666666666703</v>
          </cell>
        </row>
        <row r="38">
          <cell r="A38" t="str">
            <v>CA19-9XR</v>
          </cell>
          <cell r="C38">
            <v>480.33333333333297</v>
          </cell>
          <cell r="E38">
            <v>480.33333333333297</v>
          </cell>
        </row>
        <row r="39">
          <cell r="A39" t="str">
            <v>CaC2</v>
          </cell>
          <cell r="B39">
            <v>10161.666666666701</v>
          </cell>
          <cell r="E39">
            <v>10161.666666666701</v>
          </cell>
        </row>
        <row r="40">
          <cell r="A40" t="str">
            <v>CaC2-U</v>
          </cell>
          <cell r="B40">
            <v>279</v>
          </cell>
          <cell r="E40">
            <v>279</v>
          </cell>
        </row>
        <row r="41">
          <cell r="A41" t="str">
            <v>Carb</v>
          </cell>
          <cell r="B41">
            <v>166.666666666667</v>
          </cell>
          <cell r="E41">
            <v>166.666666666667</v>
          </cell>
        </row>
        <row r="42">
          <cell r="A42" t="str">
            <v>CEA</v>
          </cell>
          <cell r="C42">
            <v>789.33333333333303</v>
          </cell>
          <cell r="E42">
            <v>789.33333333333303</v>
          </cell>
        </row>
        <row r="43">
          <cell r="A43" t="str">
            <v>Cerulo</v>
          </cell>
          <cell r="B43">
            <v>133.333333333333</v>
          </cell>
          <cell r="E43">
            <v>133.333333333333</v>
          </cell>
        </row>
        <row r="44">
          <cell r="A44" t="str">
            <v>CHE</v>
          </cell>
          <cell r="B44">
            <v>2192</v>
          </cell>
          <cell r="E44">
            <v>2192</v>
          </cell>
        </row>
        <row r="45">
          <cell r="A45" t="str">
            <v>Chol2</v>
          </cell>
          <cell r="B45">
            <v>8868.6666666666697</v>
          </cell>
          <cell r="E45">
            <v>8868.6666666666697</v>
          </cell>
        </row>
        <row r="46">
          <cell r="A46" t="str">
            <v>CK</v>
          </cell>
          <cell r="B46">
            <v>5522.6666666666697</v>
          </cell>
          <cell r="E46">
            <v>5522.6666666666697</v>
          </cell>
        </row>
        <row r="47">
          <cell r="A47" t="str">
            <v>CK-MB STAT</v>
          </cell>
          <cell r="C47">
            <v>1431.3333333333301</v>
          </cell>
          <cell r="E47">
            <v>1431.3333333333301</v>
          </cell>
        </row>
        <row r="48">
          <cell r="A48" t="str">
            <v>Cl-C</v>
          </cell>
          <cell r="B48">
            <v>6913.3333333333303</v>
          </cell>
          <cell r="E48">
            <v>6913.3333333333303</v>
          </cell>
        </row>
        <row r="49">
          <cell r="A49" t="str">
            <v>Cl-CU</v>
          </cell>
          <cell r="B49">
            <v>924.66666666666697</v>
          </cell>
          <cell r="E49">
            <v>924.66666666666697</v>
          </cell>
        </row>
        <row r="50">
          <cell r="A50" t="str">
            <v>CocSQ1</v>
          </cell>
          <cell r="B50">
            <v>804</v>
          </cell>
          <cell r="E50">
            <v>804</v>
          </cell>
        </row>
        <row r="51">
          <cell r="A51" t="str">
            <v>Cortisol</v>
          </cell>
          <cell r="C51">
            <v>331</v>
          </cell>
          <cell r="E51">
            <v>331</v>
          </cell>
        </row>
        <row r="52">
          <cell r="A52" t="str">
            <v>C-Peptide</v>
          </cell>
          <cell r="C52">
            <v>151.666666666667</v>
          </cell>
          <cell r="E52">
            <v>151.666666666667</v>
          </cell>
        </row>
        <row r="53">
          <cell r="A53" t="str">
            <v>CrEnz</v>
          </cell>
          <cell r="B53">
            <v>17885.666666666701</v>
          </cell>
          <cell r="E53">
            <v>17885.666666666701</v>
          </cell>
        </row>
        <row r="54">
          <cell r="A54" t="str">
            <v>CrEnzU</v>
          </cell>
          <cell r="B54">
            <v>2420</v>
          </cell>
          <cell r="E54">
            <v>2420</v>
          </cell>
        </row>
        <row r="55">
          <cell r="A55" t="str">
            <v>CRP16</v>
          </cell>
          <cell r="B55">
            <v>9135.6666666666697</v>
          </cell>
          <cell r="E55">
            <v>9135.6666666666697</v>
          </cell>
        </row>
        <row r="56">
          <cell r="A56" t="str">
            <v>Cyclo</v>
          </cell>
          <cell r="C56">
            <v>55</v>
          </cell>
          <cell r="E56">
            <v>55</v>
          </cell>
        </row>
        <row r="57">
          <cell r="A57" t="str">
            <v>DHEA-S</v>
          </cell>
          <cell r="C57">
            <v>180.333333333333</v>
          </cell>
          <cell r="E57">
            <v>180.333333333333</v>
          </cell>
        </row>
        <row r="58">
          <cell r="A58" t="str">
            <v>DIBCH</v>
          </cell>
          <cell r="B58">
            <v>710.33333333333303</v>
          </cell>
          <cell r="E58">
            <v>710.33333333333303</v>
          </cell>
        </row>
        <row r="59">
          <cell r="A59" t="str">
            <v>Digoxin</v>
          </cell>
          <cell r="B59">
            <v>116.333333333333</v>
          </cell>
          <cell r="E59">
            <v>116.333333333333</v>
          </cell>
        </row>
        <row r="60">
          <cell r="A60" t="str">
            <v>Direct LDL</v>
          </cell>
          <cell r="B60">
            <v>3502.6666666666702</v>
          </cell>
          <cell r="E60">
            <v>3502.6666666666702</v>
          </cell>
        </row>
        <row r="61">
          <cell r="A61" t="str">
            <v>EcstSQ</v>
          </cell>
          <cell r="B61">
            <v>101</v>
          </cell>
          <cell r="E61">
            <v>101</v>
          </cell>
        </row>
        <row r="62">
          <cell r="A62" t="str">
            <v>Estradiol</v>
          </cell>
          <cell r="C62">
            <v>274.66666666666703</v>
          </cell>
          <cell r="E62">
            <v>274.66666666666703</v>
          </cell>
        </row>
        <row r="63">
          <cell r="A63" t="str">
            <v>Ethanol</v>
          </cell>
          <cell r="B63">
            <v>239.333333333333</v>
          </cell>
          <cell r="E63">
            <v>239.333333333333</v>
          </cell>
        </row>
        <row r="64">
          <cell r="A64" t="str">
            <v>Ferritin</v>
          </cell>
          <cell r="C64">
            <v>5479.3333333333303</v>
          </cell>
          <cell r="E64">
            <v>5479.3333333333303</v>
          </cell>
        </row>
        <row r="65">
          <cell r="A65" t="str">
            <v>Folate</v>
          </cell>
          <cell r="C65">
            <v>1912.3333333333301</v>
          </cell>
          <cell r="E65">
            <v>1912.3333333333301</v>
          </cell>
        </row>
        <row r="66">
          <cell r="A66" t="str">
            <v>Free PSA</v>
          </cell>
          <cell r="C66">
            <v>970.33333333333303</v>
          </cell>
          <cell r="E66">
            <v>970.33333333333303</v>
          </cell>
        </row>
        <row r="67">
          <cell r="A67" t="str">
            <v>Free T3</v>
          </cell>
          <cell r="C67">
            <v>2954.6666666666702</v>
          </cell>
          <cell r="E67">
            <v>2954.6666666666702</v>
          </cell>
        </row>
        <row r="68">
          <cell r="A68" t="str">
            <v>Free T4</v>
          </cell>
          <cell r="C68">
            <v>3742.6666666666702</v>
          </cell>
          <cell r="E68">
            <v>3742.6666666666702</v>
          </cell>
        </row>
        <row r="69">
          <cell r="A69" t="str">
            <v>FSH</v>
          </cell>
          <cell r="C69">
            <v>320.33333333333297</v>
          </cell>
          <cell r="E69">
            <v>320.33333333333297</v>
          </cell>
        </row>
        <row r="70">
          <cell r="A70" t="str">
            <v>G6PD NURA</v>
          </cell>
          <cell r="B70">
            <v>33</v>
          </cell>
          <cell r="E70">
            <v>33</v>
          </cell>
        </row>
        <row r="71">
          <cell r="A71" t="str">
            <v>G6PD NURB</v>
          </cell>
          <cell r="B71">
            <v>33.3333333333333</v>
          </cell>
          <cell r="E71">
            <v>33.3333333333333</v>
          </cell>
        </row>
        <row r="72">
          <cell r="A72" t="str">
            <v>G6PDH NUR</v>
          </cell>
          <cell r="B72">
            <v>7.3333333333333304</v>
          </cell>
          <cell r="E72">
            <v>7.3333333333333304</v>
          </cell>
        </row>
        <row r="73">
          <cell r="A73" t="str">
            <v>Gentamicin</v>
          </cell>
          <cell r="B73">
            <v>1</v>
          </cell>
          <cell r="E73">
            <v>1</v>
          </cell>
        </row>
        <row r="74">
          <cell r="A74" t="str">
            <v>GGT2</v>
          </cell>
          <cell r="B74">
            <v>8476.3333333333303</v>
          </cell>
          <cell r="E74">
            <v>8476.3333333333303</v>
          </cell>
        </row>
        <row r="75">
          <cell r="A75" t="str">
            <v>Glucose</v>
          </cell>
          <cell r="B75">
            <v>16384</v>
          </cell>
          <cell r="E75">
            <v>16384</v>
          </cell>
        </row>
        <row r="76">
          <cell r="A76" t="str">
            <v>Glucose CU</v>
          </cell>
          <cell r="B76">
            <v>230</v>
          </cell>
          <cell r="E76">
            <v>230</v>
          </cell>
        </row>
        <row r="77">
          <cell r="A77" t="str">
            <v>Haptoglob</v>
          </cell>
          <cell r="B77">
            <v>149</v>
          </cell>
          <cell r="E77">
            <v>149</v>
          </cell>
        </row>
        <row r="78">
          <cell r="A78" t="str">
            <v>HAVAb IgM</v>
          </cell>
          <cell r="C78">
            <v>124.666666666667</v>
          </cell>
          <cell r="E78">
            <v>124.666666666667</v>
          </cell>
        </row>
        <row r="79">
          <cell r="A79" t="str">
            <v>HAVAb-IgG</v>
          </cell>
          <cell r="C79">
            <v>132.333333333333</v>
          </cell>
          <cell r="E79">
            <v>132.333333333333</v>
          </cell>
        </row>
        <row r="80">
          <cell r="A80" t="str">
            <v>HBeAg</v>
          </cell>
          <cell r="C80">
            <v>411.33333333333297</v>
          </cell>
          <cell r="E80">
            <v>411.33333333333297</v>
          </cell>
        </row>
        <row r="81">
          <cell r="A81" t="str">
            <v>HBsAg dil</v>
          </cell>
          <cell r="C81">
            <v>320</v>
          </cell>
          <cell r="E81">
            <v>320</v>
          </cell>
        </row>
        <row r="82">
          <cell r="A82" t="str">
            <v>HBsAgNx</v>
          </cell>
          <cell r="C82">
            <v>1387.6666666666699</v>
          </cell>
          <cell r="E82">
            <v>1387.6666666666699</v>
          </cell>
        </row>
        <row r="83">
          <cell r="A83" t="str">
            <v>HE4</v>
          </cell>
          <cell r="C83">
            <v>141</v>
          </cell>
          <cell r="E83">
            <v>141</v>
          </cell>
        </row>
        <row r="84">
          <cell r="A84" t="str">
            <v>Hemolysis</v>
          </cell>
          <cell r="B84">
            <v>25319</v>
          </cell>
          <cell r="E84">
            <v>25319</v>
          </cell>
        </row>
        <row r="85">
          <cell r="A85" t="str">
            <v>HILref</v>
          </cell>
          <cell r="B85">
            <v>25345.666666666701</v>
          </cell>
          <cell r="E85">
            <v>25345.666666666701</v>
          </cell>
        </row>
        <row r="86">
          <cell r="A86" t="str">
            <v>HIV Ag/Ab</v>
          </cell>
          <cell r="C86">
            <v>1131</v>
          </cell>
          <cell r="E86">
            <v>1131</v>
          </cell>
        </row>
        <row r="87">
          <cell r="A87" t="str">
            <v>Icterus</v>
          </cell>
          <cell r="B87">
            <v>25319</v>
          </cell>
          <cell r="E87">
            <v>25319</v>
          </cell>
        </row>
        <row r="88">
          <cell r="A88" t="str">
            <v>IgA</v>
          </cell>
          <cell r="B88">
            <v>506.66666666666703</v>
          </cell>
          <cell r="E88">
            <v>506.66666666666703</v>
          </cell>
        </row>
        <row r="89">
          <cell r="A89" t="str">
            <v>IgE</v>
          </cell>
          <cell r="B89">
            <v>339.66666666666703</v>
          </cell>
          <cell r="E89">
            <v>339.66666666666703</v>
          </cell>
        </row>
        <row r="90">
          <cell r="A90" t="str">
            <v>IgG</v>
          </cell>
          <cell r="B90">
            <v>357</v>
          </cell>
          <cell r="E90">
            <v>357</v>
          </cell>
        </row>
        <row r="91">
          <cell r="A91" t="str">
            <v>IgM</v>
          </cell>
          <cell r="B91">
            <v>347.33333333333297</v>
          </cell>
          <cell r="E91">
            <v>347.33333333333297</v>
          </cell>
        </row>
        <row r="92">
          <cell r="A92" t="str">
            <v>Insulin</v>
          </cell>
          <cell r="C92">
            <v>703.33333333333303</v>
          </cell>
          <cell r="E92">
            <v>703.33333333333303</v>
          </cell>
        </row>
        <row r="93">
          <cell r="A93" t="str">
            <v>iPTH Stat</v>
          </cell>
          <cell r="C93">
            <v>875.66666666666697</v>
          </cell>
          <cell r="E93">
            <v>875.66666666666697</v>
          </cell>
        </row>
        <row r="94">
          <cell r="A94" t="str">
            <v>Iron2</v>
          </cell>
          <cell r="B94">
            <v>4757</v>
          </cell>
          <cell r="E94">
            <v>4757</v>
          </cell>
        </row>
        <row r="95">
          <cell r="A95" t="str">
            <v>K-C</v>
          </cell>
          <cell r="B95">
            <v>12308.666666666701</v>
          </cell>
          <cell r="E95">
            <v>12308.666666666701</v>
          </cell>
        </row>
        <row r="96">
          <cell r="A96" t="str">
            <v>K-CU</v>
          </cell>
          <cell r="B96">
            <v>929.66666666666697</v>
          </cell>
          <cell r="E96">
            <v>929.66666666666697</v>
          </cell>
        </row>
        <row r="97">
          <cell r="A97" t="str">
            <v>LDH2F</v>
          </cell>
          <cell r="B97">
            <v>6414.3333333333303</v>
          </cell>
          <cell r="E97">
            <v>6414.3333333333303</v>
          </cell>
        </row>
        <row r="98">
          <cell r="A98" t="str">
            <v>LH</v>
          </cell>
          <cell r="C98">
            <v>292.66666666666703</v>
          </cell>
          <cell r="E98">
            <v>292.66666666666703</v>
          </cell>
        </row>
        <row r="99">
          <cell r="A99" t="str">
            <v>Lip2</v>
          </cell>
          <cell r="B99">
            <v>4001.6666666666702</v>
          </cell>
          <cell r="E99">
            <v>4001.6666666666702</v>
          </cell>
        </row>
        <row r="100">
          <cell r="A100" t="str">
            <v>Lipemia</v>
          </cell>
          <cell r="B100">
            <v>25319</v>
          </cell>
          <cell r="E100">
            <v>25319</v>
          </cell>
        </row>
        <row r="101">
          <cell r="A101" t="str">
            <v>Lithium</v>
          </cell>
          <cell r="B101">
            <v>167.333333333333</v>
          </cell>
          <cell r="E101">
            <v>167.333333333333</v>
          </cell>
        </row>
        <row r="102">
          <cell r="A102" t="str">
            <v>Magnesium</v>
          </cell>
          <cell r="B102">
            <v>2645.3333333333298</v>
          </cell>
          <cell r="E102">
            <v>2645.3333333333298</v>
          </cell>
        </row>
        <row r="103">
          <cell r="A103" t="str">
            <v>MagnesiumU</v>
          </cell>
          <cell r="B103">
            <v>240</v>
          </cell>
          <cell r="E103">
            <v>240</v>
          </cell>
        </row>
        <row r="104">
          <cell r="A104" t="str">
            <v>MethSQ</v>
          </cell>
          <cell r="B104">
            <v>406.33333333333297</v>
          </cell>
          <cell r="E104">
            <v>406.33333333333297</v>
          </cell>
        </row>
        <row r="105">
          <cell r="A105" t="str">
            <v>Microalb</v>
          </cell>
          <cell r="B105">
            <v>1541.6666666666699</v>
          </cell>
          <cell r="E105">
            <v>1541.6666666666699</v>
          </cell>
        </row>
        <row r="106">
          <cell r="A106" t="str">
            <v>MTX UNDIL</v>
          </cell>
          <cell r="C106">
            <v>19</v>
          </cell>
          <cell r="E106">
            <v>19</v>
          </cell>
        </row>
        <row r="107">
          <cell r="A107" t="str">
            <v>Myo STAT</v>
          </cell>
          <cell r="C107">
            <v>732.33333333333303</v>
          </cell>
          <cell r="E107">
            <v>732.33333333333303</v>
          </cell>
        </row>
        <row r="108">
          <cell r="A108" t="str">
            <v>Na-C</v>
          </cell>
          <cell r="B108">
            <v>12049</v>
          </cell>
          <cell r="E108">
            <v>12049</v>
          </cell>
        </row>
        <row r="109">
          <cell r="A109" t="str">
            <v>Na-CU</v>
          </cell>
          <cell r="B109">
            <v>948.33333333333405</v>
          </cell>
          <cell r="E109">
            <v>948.33333333333405</v>
          </cell>
        </row>
        <row r="110">
          <cell r="A110" t="str">
            <v>Opi1SQ</v>
          </cell>
          <cell r="B110">
            <v>784.66666666666697</v>
          </cell>
          <cell r="E110">
            <v>784.66666666666697</v>
          </cell>
        </row>
        <row r="111">
          <cell r="A111" t="str">
            <v>P Amylase</v>
          </cell>
          <cell r="B111">
            <v>3134.6666666666702</v>
          </cell>
          <cell r="E111">
            <v>3134.6666666666702</v>
          </cell>
        </row>
        <row r="112">
          <cell r="A112" t="str">
            <v>PCT</v>
          </cell>
          <cell r="C112">
            <v>1002</v>
          </cell>
          <cell r="E112">
            <v>1002</v>
          </cell>
        </row>
        <row r="113">
          <cell r="A113" t="str">
            <v>Phenobarb</v>
          </cell>
          <cell r="B113">
            <v>104.666666666667</v>
          </cell>
          <cell r="E113">
            <v>104.666666666667</v>
          </cell>
        </row>
        <row r="114">
          <cell r="A114" t="str">
            <v>Phenytoin</v>
          </cell>
          <cell r="B114">
            <v>136.333333333333</v>
          </cell>
          <cell r="E114">
            <v>136.333333333333</v>
          </cell>
        </row>
        <row r="115">
          <cell r="A115" t="str">
            <v>Phos2</v>
          </cell>
          <cell r="B115">
            <v>1702.3333333333301</v>
          </cell>
          <cell r="E115">
            <v>1702.3333333333301</v>
          </cell>
        </row>
        <row r="116">
          <cell r="A116" t="str">
            <v>Phos2-U</v>
          </cell>
          <cell r="B116">
            <v>232</v>
          </cell>
          <cell r="E116">
            <v>232</v>
          </cell>
        </row>
        <row r="117">
          <cell r="A117" t="str">
            <v>Progest</v>
          </cell>
          <cell r="C117">
            <v>183</v>
          </cell>
          <cell r="E117">
            <v>183</v>
          </cell>
        </row>
        <row r="118">
          <cell r="A118" t="str">
            <v>Prolactin</v>
          </cell>
          <cell r="C118">
            <v>423.66666666666703</v>
          </cell>
          <cell r="E118">
            <v>423.66666666666703</v>
          </cell>
        </row>
        <row r="119">
          <cell r="A119" t="str">
            <v>RF</v>
          </cell>
          <cell r="B119">
            <v>467.33333333333297</v>
          </cell>
          <cell r="E119">
            <v>467.33333333333297</v>
          </cell>
        </row>
        <row r="120">
          <cell r="A120" t="str">
            <v>SHBG</v>
          </cell>
          <cell r="C120">
            <v>151.666666666667</v>
          </cell>
          <cell r="E120">
            <v>151.666666666667</v>
          </cell>
        </row>
        <row r="121">
          <cell r="A121" t="str">
            <v>Sirolimus</v>
          </cell>
          <cell r="C121">
            <v>14.3333333333333</v>
          </cell>
          <cell r="E121">
            <v>14.3333333333333</v>
          </cell>
        </row>
        <row r="122">
          <cell r="A122" t="str">
            <v>Syphilis</v>
          </cell>
          <cell r="C122">
            <v>642</v>
          </cell>
          <cell r="E122">
            <v>642</v>
          </cell>
        </row>
        <row r="123">
          <cell r="A123" t="str">
            <v>Tacrolimus</v>
          </cell>
          <cell r="C123">
            <v>163.333333333333</v>
          </cell>
          <cell r="E123">
            <v>163.333333333333</v>
          </cell>
        </row>
        <row r="124">
          <cell r="A124" t="str">
            <v>TBili2</v>
          </cell>
          <cell r="B124">
            <v>9183.3333333333303</v>
          </cell>
          <cell r="E124">
            <v>9183.3333333333303</v>
          </cell>
        </row>
        <row r="125">
          <cell r="A125" t="str">
            <v>Testo</v>
          </cell>
          <cell r="C125">
            <v>410.66666666666703</v>
          </cell>
          <cell r="E125">
            <v>410.66666666666703</v>
          </cell>
        </row>
        <row r="126">
          <cell r="A126" t="str">
            <v>Tg</v>
          </cell>
          <cell r="C126">
            <v>8</v>
          </cell>
          <cell r="E126">
            <v>8</v>
          </cell>
        </row>
        <row r="127">
          <cell r="A127" t="str">
            <v>THC1SQ</v>
          </cell>
          <cell r="B127">
            <v>776</v>
          </cell>
          <cell r="E127">
            <v>776</v>
          </cell>
        </row>
        <row r="128">
          <cell r="A128" t="str">
            <v>tHCY-DIL</v>
          </cell>
          <cell r="C128">
            <v>17</v>
          </cell>
          <cell r="E128">
            <v>17</v>
          </cell>
        </row>
        <row r="129">
          <cell r="A129" t="str">
            <v>tHCY-UNDIL</v>
          </cell>
          <cell r="C129">
            <v>772.33333333333303</v>
          </cell>
          <cell r="E129">
            <v>772.33333333333303</v>
          </cell>
        </row>
        <row r="130">
          <cell r="A130" t="str">
            <v>Theo</v>
          </cell>
          <cell r="B130">
            <v>100</v>
          </cell>
          <cell r="E130">
            <v>100</v>
          </cell>
        </row>
        <row r="131">
          <cell r="A131" t="str">
            <v>TnI MI RS</v>
          </cell>
          <cell r="C131">
            <v>3267.6666666666702</v>
          </cell>
          <cell r="E131">
            <v>3267.6666666666702</v>
          </cell>
        </row>
        <row r="132">
          <cell r="A132" t="str">
            <v>Total PSA</v>
          </cell>
          <cell r="C132">
            <v>2875.3333333333298</v>
          </cell>
          <cell r="E132">
            <v>2875.3333333333298</v>
          </cell>
        </row>
        <row r="133">
          <cell r="A133" t="str">
            <v>TPRO2</v>
          </cell>
          <cell r="B133">
            <v>11518</v>
          </cell>
          <cell r="E133">
            <v>11518</v>
          </cell>
        </row>
        <row r="134">
          <cell r="A134" t="str">
            <v>Transf</v>
          </cell>
          <cell r="B134">
            <v>1419.3333333333301</v>
          </cell>
          <cell r="E134">
            <v>1419.3333333333301</v>
          </cell>
        </row>
        <row r="135">
          <cell r="A135" t="str">
            <v>Trig2</v>
          </cell>
          <cell r="B135">
            <v>8960.3333333333303</v>
          </cell>
          <cell r="E135">
            <v>8960.3333333333303</v>
          </cell>
        </row>
        <row r="136">
          <cell r="A136" t="str">
            <v>TSH</v>
          </cell>
          <cell r="C136">
            <v>5621.6666666666697</v>
          </cell>
          <cell r="E136">
            <v>5621.6666666666697</v>
          </cell>
        </row>
        <row r="137">
          <cell r="A137" t="str">
            <v>U/CSF Prot</v>
          </cell>
          <cell r="B137">
            <v>351</v>
          </cell>
          <cell r="E137">
            <v>351</v>
          </cell>
        </row>
        <row r="138">
          <cell r="A138" t="str">
            <v>Ultra HDL</v>
          </cell>
          <cell r="B138">
            <v>8045</v>
          </cell>
          <cell r="E138">
            <v>8045</v>
          </cell>
        </row>
        <row r="139">
          <cell r="A139" t="str">
            <v>Urea</v>
          </cell>
          <cell r="B139">
            <v>13279</v>
          </cell>
          <cell r="E139">
            <v>13279</v>
          </cell>
        </row>
        <row r="140">
          <cell r="A140" t="str">
            <v>UreaU</v>
          </cell>
          <cell r="B140">
            <v>448</v>
          </cell>
          <cell r="E140">
            <v>448</v>
          </cell>
        </row>
        <row r="141">
          <cell r="A141" t="str">
            <v>Uric2</v>
          </cell>
          <cell r="B141">
            <v>6156.3333333333303</v>
          </cell>
          <cell r="E141">
            <v>6156.3333333333303</v>
          </cell>
        </row>
        <row r="142">
          <cell r="A142" t="str">
            <v>Uric2-U</v>
          </cell>
          <cell r="B142">
            <v>244</v>
          </cell>
          <cell r="E142">
            <v>244</v>
          </cell>
        </row>
        <row r="143">
          <cell r="A143" t="str">
            <v>Valproic</v>
          </cell>
          <cell r="B143">
            <v>169</v>
          </cell>
          <cell r="E143">
            <v>169</v>
          </cell>
        </row>
        <row r="144">
          <cell r="A144" t="str">
            <v>Vancomycin</v>
          </cell>
          <cell r="B144">
            <v>103.333333333333</v>
          </cell>
          <cell r="E144">
            <v>103.333333333333</v>
          </cell>
        </row>
        <row r="145">
          <cell r="A145" t="str">
            <v>Vit D25OH</v>
          </cell>
          <cell r="C145">
            <v>4695.6666666666697</v>
          </cell>
          <cell r="E145">
            <v>4695.6666666666697</v>
          </cell>
        </row>
        <row r="146">
          <cell r="A146" t="str">
            <v>VitaminB12</v>
          </cell>
          <cell r="C146">
            <v>1977.6666666666699</v>
          </cell>
          <cell r="E146">
            <v>1977.6666666666699</v>
          </cell>
        </row>
      </sheetData>
      <sheetData sheetId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Date="0" createdVersion="3" recordCount="290" xr:uid="{00000000-000A-0000-FFFF-FFFF01000000}">
  <cacheSource type="worksheet">
    <worksheetSource ref="A1:M1048576" sheet="DPCache_Instrument Summary (1)"/>
  </cacheSource>
  <cacheFields count="13">
    <cacheField name="MODULE_SERIAL" numFmtId="0">
      <sharedItems containsBlank="1" count="3">
        <s v="AC04860"/>
        <s v="AI22529"/>
        <m/>
      </sharedItems>
    </cacheField>
    <cacheField name="MODULE_TYPE" numFmtId="0">
      <sharedItems containsBlank="1" count="3">
        <s v="Alinity c"/>
        <s v="Alinity i"/>
        <m/>
      </sharedItems>
    </cacheField>
    <cacheField name="ASSAY_NAME" numFmtId="0">
      <sharedItems containsBlank="1" count="143">
        <s v="A-ALT"/>
        <s v="A-AST"/>
        <s v="a1AGP"/>
        <s v="a1AT"/>
        <s v="AFP"/>
        <s v="AlbBCG2"/>
        <s v="AlkP2F"/>
        <s v="Ammonia"/>
        <s v="AmpSQ"/>
        <s v="AMY2-UF"/>
        <s v="AMY2F"/>
        <s v="Anti-HBc"/>
        <s v="Anti-HBc M"/>
        <s v="Anti-HBe"/>
        <s v="Anti-HCVII"/>
        <s v="Anti-Tg"/>
        <s v="Anti-TPO"/>
        <s v="AntiHBsdil"/>
        <s v="APOA1"/>
        <s v="APOB"/>
        <s v="ASO"/>
        <s v="B-hCG"/>
        <s v="B2M"/>
        <s v="BarbSQ"/>
        <s v="BenzSQ"/>
        <s v="Bile Acids"/>
        <s v="Bili D"/>
        <s v="BNP"/>
        <s v="BUP SQ"/>
        <s v="C-Peptide"/>
        <s v="C3"/>
        <s v="C4"/>
        <s v="CA 125 II"/>
        <s v="CA 15-3"/>
        <s v="CA19-9XR"/>
        <s v="CaC2"/>
        <s v="CaC2-U"/>
        <s v="Carb"/>
        <s v="CEA"/>
        <s v="Cerulo"/>
        <s v="CHE"/>
        <s v="Chol2"/>
        <s v="CK"/>
        <s v="CK-MB STAT"/>
        <s v="Cl-C"/>
        <s v="Cl-CU"/>
        <s v="CocSQ1"/>
        <s v="Cortisol"/>
        <s v="CrEnz"/>
        <s v="CrEnzU"/>
        <s v="CRP16"/>
        <s v="Cyclo"/>
        <s v="DHEA-S"/>
        <s v="DIBCH"/>
        <s v="Digoxin"/>
        <s v="Direct LDL"/>
        <s v="EcstSQ"/>
        <s v="Estradiol"/>
        <s v="Ethanol"/>
        <s v="Ferritin"/>
        <s v="Folate"/>
        <s v="Free PSA"/>
        <s v="Free T3"/>
        <s v="Free T4"/>
        <s v="FSH"/>
        <s v="G6PD NURA"/>
        <s v="G6PD NURB"/>
        <s v="G6PDH NUR"/>
        <s v="Gentamicin"/>
        <s v="GGT2"/>
        <s v="Glucose"/>
        <s v="Glucose CU"/>
        <s v="Haptoglob"/>
        <s v="HAVAb IgM"/>
        <s v="HAVAb-IgG"/>
        <s v="HBeAg"/>
        <s v="HBsAg dil"/>
        <s v="HBsAgNx"/>
        <s v="HE4"/>
        <s v="Hemolysis"/>
        <s v="HILref"/>
        <s v="HIV Ag/Ab"/>
        <s v="Icterus"/>
        <s v="IgA"/>
        <s v="IgE"/>
        <s v="IgG"/>
        <s v="IgM"/>
        <s v="Insulin"/>
        <s v="iPTH Stat"/>
        <s v="Iron2"/>
        <s v="K-C"/>
        <s v="K-CU"/>
        <s v="LDH2F"/>
        <s v="LH"/>
        <s v="Lip2"/>
        <s v="Lipemia"/>
        <s v="Lithium"/>
        <s v="Magnesium"/>
        <s v="MagnesiumU"/>
        <s v="MethSQ"/>
        <s v="Microalb"/>
        <s v="MTX UNDIL"/>
        <s v="Myo STAT"/>
        <s v="Na-C"/>
        <s v="Na-CU"/>
        <s v="Opi1SQ"/>
        <s v="P Amylase"/>
        <s v="PCT"/>
        <s v="Phenobarb"/>
        <s v="Phenytoin"/>
        <s v="Phos2"/>
        <s v="Phos2-U"/>
        <s v="Progest"/>
        <s v="Prolactin"/>
        <s v="RF"/>
        <s v="SHBG"/>
        <s v="Sirolimus"/>
        <s v="Syphilis"/>
        <s v="Tacrolimus"/>
        <s v="TBili2"/>
        <s v="Testo"/>
        <s v="Tg"/>
        <s v="THC1SQ"/>
        <s v="tHCY-DIL"/>
        <s v="tHCY-UNDIL"/>
        <s v="Theo"/>
        <s v="TnI MI RS"/>
        <s v="Total PSA"/>
        <s v="TPRO2"/>
        <s v="Transf"/>
        <s v="Trig2"/>
        <s v="TSH"/>
        <s v="U/CSF Prot"/>
        <s v="Ultra HDL"/>
        <s v="Urea"/>
        <s v="UreaU"/>
        <s v="Uric2"/>
        <s v="Uric2-U"/>
        <s v="Valproic"/>
        <s v="Vancomycin"/>
        <s v="Vit D25OH"/>
        <s v="VitaminB12"/>
        <m/>
      </sharedItems>
    </cacheField>
    <cacheField name="ASSAY_NUMBER" numFmtId="0">
      <sharedItems containsString="0" containsBlank="1" containsNumber="1" containsInteger="1" minValue="10" maxValue="2244" count="143">
        <n v="10"/>
        <n v="47"/>
        <n v="66"/>
        <n v="67"/>
        <n v="68"/>
        <n v="88"/>
        <n v="97"/>
        <n v="106"/>
        <n v="117"/>
        <n v="174"/>
        <n v="183"/>
        <n v="184"/>
        <n v="193"/>
        <n v="199"/>
        <n v="207"/>
        <n v="248"/>
        <n v="272"/>
        <n v="277"/>
        <n v="286"/>
        <n v="288"/>
        <n v="309"/>
        <n v="328"/>
        <n v="349"/>
        <n v="355"/>
        <n v="358"/>
        <n v="378"/>
        <n v="392"/>
        <n v="396"/>
        <n v="416"/>
        <n v="420"/>
        <n v="487"/>
        <n v="488"/>
        <n v="521"/>
        <n v="565"/>
        <n v="567"/>
        <n v="593"/>
        <n v="594"/>
        <n v="598"/>
        <n v="607"/>
        <n v="631"/>
        <n v="642"/>
        <n v="645"/>
        <n v="654"/>
        <n v="657"/>
        <n v="658"/>
        <n v="682"/>
        <n v="693"/>
        <n v="699"/>
        <n v="729"/>
        <n v="774"/>
        <n v="797"/>
        <n v="800"/>
        <n v="826"/>
        <n v="837"/>
        <n v="1005"/>
        <n v="1032"/>
        <n v="1036"/>
        <n v="1044"/>
        <n v="1046"/>
        <n v="1053"/>
        <n v="1054"/>
        <n v="1055"/>
        <n v="1056"/>
        <n v="1057"/>
        <n v="1058"/>
        <n v="1059"/>
        <n v="1060"/>
        <n v="1065"/>
        <n v="1069"/>
        <n v="1070"/>
        <n v="1071"/>
        <n v="1072"/>
        <n v="1073"/>
        <n v="1074"/>
        <n v="1095"/>
        <n v="1099"/>
        <n v="1101"/>
        <n v="1102"/>
        <n v="1103"/>
        <n v="1133"/>
        <n v="1134"/>
        <n v="1135"/>
        <n v="1226"/>
        <n v="1251"/>
        <n v="1293"/>
        <n v="1400"/>
        <n v="1406"/>
        <n v="1413"/>
        <n v="1415"/>
        <n v="1417"/>
        <n v="1420"/>
        <n v="1422"/>
        <n v="1429"/>
        <n v="1431"/>
        <n v="1440"/>
        <n v="1442"/>
        <n v="1444"/>
        <n v="1446"/>
        <n v="1449"/>
        <n v="1456"/>
        <n v="1460"/>
        <n v="1472"/>
        <n v="1476"/>
        <n v="1836"/>
        <n v="1837"/>
        <n v="1839"/>
        <n v="1840"/>
        <n v="1841"/>
        <n v="1845"/>
        <n v="1847"/>
        <n v="1848"/>
        <n v="1850"/>
        <n v="1852"/>
        <n v="1856"/>
        <n v="1861"/>
        <n v="1867"/>
        <n v="1869"/>
        <n v="1880"/>
        <n v="1882"/>
        <n v="1883"/>
        <n v="1884"/>
        <n v="1885"/>
        <n v="1888"/>
        <n v="1901"/>
        <n v="1902"/>
        <n v="1903"/>
        <n v="1908"/>
        <n v="1911"/>
        <n v="1912"/>
        <n v="1953"/>
        <n v="1966"/>
        <n v="1969"/>
        <n v="1972"/>
        <n v="1974"/>
        <n v="1976"/>
        <n v="1977"/>
        <n v="1978"/>
        <n v="1982"/>
        <n v="2004"/>
        <n v="2006"/>
        <n v="2243"/>
        <n v="2244"/>
        <m/>
      </sharedItems>
    </cacheField>
    <cacheField name="PATIENTS_ATTEMPTED" numFmtId="0">
      <sharedItems containsString="0" containsBlank="1" containsNumber="1" containsInteger="1" minValue="0" maxValue="28365" count="245">
        <n v="0"/>
        <n v="1"/>
        <n v="2"/>
        <n v="3"/>
        <n v="4"/>
        <n v="5"/>
        <n v="7"/>
        <n v="8"/>
        <n v="10"/>
        <n v="11"/>
        <n v="12"/>
        <n v="13"/>
        <n v="14"/>
        <n v="15"/>
        <n v="20"/>
        <n v="22"/>
        <n v="23"/>
        <n v="28"/>
        <n v="33"/>
        <n v="35"/>
        <n v="40"/>
        <n v="41"/>
        <n v="42"/>
        <n v="46"/>
        <n v="49"/>
        <n v="50"/>
        <n v="69"/>
        <n v="70"/>
        <n v="77"/>
        <n v="78"/>
        <n v="81"/>
        <n v="82"/>
        <n v="83"/>
        <n v="99"/>
        <n v="101"/>
        <n v="102"/>
        <n v="106"/>
        <n v="108"/>
        <n v="118"/>
        <n v="120"/>
        <n v="121"/>
        <n v="122"/>
        <n v="140"/>
        <n v="146"/>
        <n v="175"/>
        <n v="190"/>
        <n v="196"/>
        <n v="199"/>
        <n v="220"/>
        <n v="230"/>
        <n v="232"/>
        <n v="242"/>
        <n v="260"/>
        <n v="265"/>
        <n v="294"/>
        <n v="301"/>
        <n v="307"/>
        <n v="311"/>
        <n v="321"/>
        <n v="327"/>
        <n v="340"/>
        <n v="344"/>
        <n v="354"/>
        <n v="369"/>
        <n v="390"/>
        <n v="391"/>
        <n v="412"/>
        <n v="413"/>
        <n v="439"/>
        <n v="443"/>
        <n v="486"/>
        <n v="492"/>
        <n v="497"/>
        <n v="507"/>
        <n v="537"/>
        <n v="547"/>
        <n v="548"/>
        <n v="581"/>
        <n v="596"/>
        <n v="626"/>
        <n v="661"/>
        <n v="667"/>
        <n v="690"/>
        <n v="711"/>
        <n v="712"/>
        <n v="715"/>
        <n v="753"/>
        <n v="781"/>
        <n v="784"/>
        <n v="819"/>
        <n v="836"/>
        <n v="863"/>
        <n v="872"/>
        <n v="910"/>
        <n v="931"/>
        <n v="933"/>
        <n v="991"/>
        <n v="992"/>
        <n v="997"/>
        <n v="1015"/>
        <n v="1030"/>
        <n v="1036"/>
        <n v="1058"/>
        <n v="1067"/>
        <n v="1127"/>
        <n v="1130"/>
        <n v="1134"/>
        <n v="1141"/>
        <n v="1186"/>
        <n v="1188"/>
        <n v="1247"/>
        <n v="1256"/>
        <n v="1284"/>
        <n v="1361"/>
        <n v="1375"/>
        <n v="1409"/>
        <n v="1436"/>
        <n v="1440"/>
        <n v="1451"/>
        <n v="1478"/>
        <n v="1482"/>
        <n v="1582"/>
        <n v="1628"/>
        <n v="1655"/>
        <n v="1700"/>
        <n v="1752"/>
        <n v="1796"/>
        <n v="1891"/>
        <n v="1918"/>
        <n v="1928"/>
        <n v="1954"/>
        <n v="1965"/>
        <n v="1970"/>
        <n v="1988"/>
        <n v="2011"/>
        <n v="2019"/>
        <n v="2055"/>
        <n v="2084"/>
        <n v="2097"/>
        <n v="2099"/>
        <n v="2151"/>
        <n v="2171"/>
        <n v="2177"/>
        <n v="2253"/>
        <n v="2264"/>
        <n v="2277"/>
        <n v="2281"/>
        <n v="2342"/>
        <n v="2382"/>
        <n v="2730"/>
        <n v="2858"/>
        <n v="2998"/>
        <n v="3129"/>
        <n v="3220"/>
        <n v="3406"/>
        <n v="3621"/>
        <n v="3639"/>
        <n v="3699"/>
        <n v="3717"/>
        <n v="3970"/>
        <n v="4006"/>
        <n v="4032"/>
        <n v="4233"/>
        <n v="4308"/>
        <n v="4309"/>
        <n v="4546"/>
        <n v="4756"/>
        <n v="4797"/>
        <n v="4855"/>
        <n v="4874"/>
        <n v="5050"/>
        <n v="5564"/>
        <n v="5577"/>
        <n v="5677"/>
        <n v="5743"/>
        <n v="5882"/>
        <n v="5906"/>
        <n v="5923"/>
        <n v="6160"/>
        <n v="6340"/>
        <n v="6419"/>
        <n v="6447"/>
        <n v="6679"/>
        <n v="6876"/>
        <n v="7388"/>
        <n v="7399"/>
        <n v="7443"/>
        <n v="7466"/>
        <n v="7477"/>
        <n v="7542"/>
        <n v="7565"/>
        <n v="7685"/>
        <n v="7985"/>
        <n v="9135"/>
        <n v="9150"/>
        <n v="9220"/>
        <n v="9398"/>
        <n v="9401"/>
        <n v="9943"/>
        <n v="9985"/>
        <n v="10142"/>
        <n v="10207"/>
        <n v="10316"/>
        <n v="10322"/>
        <n v="10378"/>
        <n v="10716"/>
        <n v="10791"/>
        <n v="10814"/>
        <n v="11168"/>
        <n v="11202"/>
        <n v="11462"/>
        <n v="11492"/>
        <n v="11691"/>
        <n v="11742"/>
        <n v="11832"/>
        <n v="11850"/>
        <n v="12022"/>
        <n v="12045"/>
        <n v="12122"/>
        <n v="12505"/>
        <n v="12584"/>
        <n v="12586"/>
        <n v="12627"/>
        <n v="13104"/>
        <n v="13193"/>
        <n v="13637"/>
        <n v="14698"/>
        <n v="15362"/>
        <n v="16189"/>
        <n v="16759"/>
        <n v="17533"/>
        <n v="17597"/>
        <n v="19121"/>
        <n v="19355"/>
        <n v="20738"/>
        <n v="20740"/>
        <n v="20755"/>
        <n v="26880"/>
        <n v="26881"/>
        <n v="26882"/>
        <n v="26917"/>
        <n v="28337"/>
        <n v="28338"/>
        <n v="28365"/>
        <m/>
      </sharedItems>
    </cacheField>
    <cacheField name="PATIENTS_COMPLETED" numFmtId="0">
      <sharedItems containsString="0" containsBlank="1" containsNumber="1" containsInteger="1" minValue="0" maxValue="25293" count="243">
        <n v="0"/>
        <n v="1"/>
        <n v="2"/>
        <n v="3"/>
        <n v="4"/>
        <n v="6"/>
        <n v="7"/>
        <n v="8"/>
        <n v="9"/>
        <n v="10"/>
        <n v="11"/>
        <n v="12"/>
        <n v="13"/>
        <n v="14"/>
        <n v="15"/>
        <n v="20"/>
        <n v="21"/>
        <n v="22"/>
        <n v="28"/>
        <n v="33"/>
        <n v="34"/>
        <n v="37"/>
        <n v="40"/>
        <n v="41"/>
        <n v="46"/>
        <n v="49"/>
        <n v="52"/>
        <n v="63"/>
        <n v="64"/>
        <n v="66"/>
        <n v="69"/>
        <n v="73"/>
        <n v="78"/>
        <n v="84"/>
        <n v="85"/>
        <n v="87"/>
        <n v="106"/>
        <n v="108"/>
        <n v="112"/>
        <n v="115"/>
        <n v="118"/>
        <n v="129"/>
        <n v="133"/>
        <n v="158"/>
        <n v="168"/>
        <n v="178"/>
        <n v="190"/>
        <n v="194"/>
        <n v="195"/>
        <n v="212"/>
        <n v="218"/>
        <n v="235"/>
        <n v="239"/>
        <n v="242"/>
        <n v="245"/>
        <n v="285"/>
        <n v="288"/>
        <n v="296"/>
        <n v="297"/>
        <n v="308"/>
        <n v="323"/>
        <n v="338"/>
        <n v="340"/>
        <n v="348"/>
        <n v="352"/>
        <n v="376"/>
        <n v="383"/>
        <n v="386"/>
        <n v="395"/>
        <n v="406"/>
        <n v="451"/>
        <n v="456"/>
        <n v="476"/>
        <n v="482"/>
        <n v="497"/>
        <n v="534"/>
        <n v="540"/>
        <n v="551"/>
        <n v="581"/>
        <n v="586"/>
        <n v="618"/>
        <n v="621"/>
        <n v="636"/>
        <n v="638"/>
        <n v="662"/>
        <n v="686"/>
        <n v="707"/>
        <n v="755"/>
        <n v="763"/>
        <n v="768"/>
        <n v="833"/>
        <n v="847"/>
        <n v="848"/>
        <n v="866"/>
        <n v="880"/>
        <n v="949"/>
        <n v="951"/>
        <n v="952"/>
        <n v="967"/>
        <n v="974"/>
        <n v="975"/>
        <n v="977"/>
        <n v="981"/>
        <n v="987"/>
        <n v="1001"/>
        <n v="1002"/>
        <n v="1017"/>
        <n v="1064"/>
        <n v="1084"/>
        <n v="1113"/>
        <n v="1197"/>
        <n v="1199"/>
        <n v="1206"/>
        <n v="1207"/>
        <n v="1228"/>
        <n v="1238"/>
        <n v="1246"/>
        <n v="1314"/>
        <n v="1376"/>
        <n v="1414"/>
        <n v="1417"/>
        <n v="1425"/>
        <n v="1449"/>
        <n v="1501"/>
        <n v="1544"/>
        <n v="1593"/>
        <n v="1611"/>
        <n v="1625"/>
        <n v="1668"/>
        <n v="1690"/>
        <n v="1691"/>
        <n v="1777"/>
        <n v="1804"/>
        <n v="1832"/>
        <n v="1833"/>
        <n v="1859"/>
        <n v="1890"/>
        <n v="1917"/>
        <n v="1919"/>
        <n v="1928"/>
        <n v="1929"/>
        <n v="1960"/>
        <n v="1994"/>
        <n v="2000"/>
        <n v="2044"/>
        <n v="2094"/>
        <n v="2107"/>
        <n v="2163"/>
        <n v="2299"/>
        <n v="2418"/>
        <n v="2526"/>
        <n v="2603"/>
        <n v="2937"/>
        <n v="3035"/>
        <n v="3087"/>
        <n v="3194"/>
        <n v="3215"/>
        <n v="3487"/>
        <n v="3532"/>
        <n v="3534"/>
        <n v="3556"/>
        <n v="3602"/>
        <n v="3788"/>
        <n v="3791"/>
        <n v="4007"/>
        <n v="4089"/>
        <n v="4143"/>
        <n v="4167"/>
        <n v="4197"/>
        <n v="4322"/>
        <n v="4493"/>
        <n v="5002"/>
        <n v="5014"/>
        <n v="5044"/>
        <n v="5256"/>
        <n v="5354"/>
        <n v="5378"/>
        <n v="5491"/>
        <n v="5553"/>
        <n v="5656"/>
        <n v="5792"/>
        <n v="6068"/>
        <n v="6111"/>
        <n v="6475"/>
        <n v="6476"/>
        <n v="6552"/>
        <n v="6637"/>
        <n v="6667"/>
        <n v="6894"/>
        <n v="7057"/>
        <n v="7074"/>
        <n v="7241"/>
        <n v="7886"/>
        <n v="7960"/>
        <n v="8289"/>
        <n v="8314"/>
        <n v="8748"/>
        <n v="8820"/>
        <n v="8872"/>
        <n v="8948"/>
        <n v="9067"/>
        <n v="9227"/>
        <n v="9348"/>
        <n v="9630"/>
        <n v="9637"/>
        <n v="9743"/>
        <n v="9757"/>
        <n v="9786"/>
        <n v="10098"/>
        <n v="10140"/>
        <n v="10577"/>
        <n v="10667"/>
        <n v="10701"/>
        <n v="10743"/>
        <n v="10849"/>
        <n v="10869"/>
        <n v="10957"/>
        <n v="11020"/>
        <n v="11362"/>
        <n v="11700"/>
        <n v="11718"/>
        <n v="11774"/>
        <n v="12084"/>
        <n v="12646"/>
        <n v="12677"/>
        <n v="13111"/>
        <n v="13739"/>
        <n v="13756"/>
        <n v="14861"/>
        <n v="15251"/>
        <n v="15887"/>
        <n v="16447"/>
        <n v="17339"/>
        <n v="20121"/>
        <n v="20123"/>
        <n v="20137"/>
        <n v="22428"/>
        <n v="22429"/>
        <n v="22460"/>
        <n v="25270"/>
        <n v="25271"/>
        <n v="25293"/>
        <m/>
      </sharedItems>
    </cacheField>
    <cacheField name="PATIENTS_RETESTED" numFmtId="0">
      <sharedItems containsString="0" containsBlank="1" containsNumber="1" containsInteger="1" minValue="0" maxValue="3326" count="172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8"/>
        <n v="19"/>
        <n v="20"/>
        <n v="22"/>
        <n v="23"/>
        <n v="24"/>
        <n v="25"/>
        <n v="26"/>
        <n v="28"/>
        <n v="29"/>
        <n v="30"/>
        <n v="32"/>
        <n v="33"/>
        <n v="35"/>
        <n v="36"/>
        <n v="37"/>
        <n v="38"/>
        <n v="39"/>
        <n v="40"/>
        <n v="41"/>
        <n v="43"/>
        <n v="45"/>
        <n v="46"/>
        <n v="49"/>
        <n v="51"/>
        <n v="53"/>
        <n v="54"/>
        <n v="57"/>
        <n v="58"/>
        <n v="59"/>
        <n v="61"/>
        <n v="62"/>
        <n v="67"/>
        <n v="68"/>
        <n v="69"/>
        <n v="73"/>
        <n v="86"/>
        <n v="87"/>
        <n v="89"/>
        <n v="94"/>
        <n v="98"/>
        <n v="100"/>
        <n v="103"/>
        <n v="104"/>
        <n v="105"/>
        <n v="121"/>
        <n v="123"/>
        <n v="129"/>
        <n v="132"/>
        <n v="137"/>
        <n v="143"/>
        <n v="153"/>
        <n v="155"/>
        <n v="157"/>
        <n v="161"/>
        <n v="163"/>
        <n v="178"/>
        <n v="184"/>
        <n v="194"/>
        <n v="197"/>
        <n v="200"/>
        <n v="207"/>
        <n v="209"/>
        <n v="216"/>
        <n v="220"/>
        <n v="221"/>
        <n v="226"/>
        <n v="228"/>
        <n v="233"/>
        <n v="237"/>
        <n v="238"/>
        <n v="239"/>
        <n v="244"/>
        <n v="258"/>
        <n v="260"/>
        <n v="262"/>
        <n v="268"/>
        <n v="279"/>
        <n v="280"/>
        <n v="282"/>
        <n v="306"/>
        <n v="313"/>
        <n v="320"/>
        <n v="323"/>
        <n v="325"/>
        <n v="332"/>
        <n v="338"/>
        <n v="351"/>
        <n v="362"/>
        <n v="369"/>
        <n v="370"/>
        <n v="374"/>
        <n v="386"/>
        <n v="390"/>
        <n v="398"/>
        <n v="399"/>
        <n v="414"/>
        <n v="431"/>
        <n v="441"/>
        <n v="447"/>
        <n v="464"/>
        <n v="465"/>
        <n v="466"/>
        <n v="475"/>
        <n v="506"/>
        <n v="527"/>
        <n v="529"/>
        <n v="534"/>
        <n v="537"/>
        <n v="564"/>
        <n v="597"/>
        <n v="649"/>
        <n v="680"/>
        <n v="690"/>
        <n v="695"/>
        <n v="771"/>
        <n v="778"/>
        <n v="784"/>
        <n v="795"/>
        <n v="797"/>
        <n v="802"/>
        <n v="804"/>
        <n v="810"/>
        <n v="819"/>
        <n v="833"/>
        <n v="835"/>
        <n v="841"/>
        <n v="899"/>
        <n v="986"/>
        <n v="987"/>
        <n v="1001"/>
        <n v="1078"/>
        <n v="1091"/>
        <n v="1134"/>
        <n v="1177"/>
        <n v="1191"/>
        <n v="1215"/>
        <n v="1291"/>
        <n v="1307"/>
        <n v="1412"/>
        <n v="1422"/>
        <n v="1466"/>
        <n v="1577"/>
        <n v="1620"/>
        <n v="1641"/>
        <n v="1872"/>
        <n v="1947"/>
        <n v="2247"/>
        <n v="2503"/>
        <n v="2504"/>
        <n v="2513"/>
        <n v="3321"/>
        <n v="3322"/>
        <n v="3326"/>
        <m/>
      </sharedItems>
    </cacheField>
    <cacheField name="PATIENTS_DILUTED" numFmtId="0">
      <sharedItems containsString="0" containsBlank="1" containsNumber="1" containsInteger="1" minValue="0" maxValue="822" count="54">
        <n v="0"/>
        <n v="1"/>
        <n v="2"/>
        <n v="3"/>
        <n v="4"/>
        <n v="5"/>
        <n v="6"/>
        <n v="7"/>
        <n v="8"/>
        <n v="10"/>
        <n v="11"/>
        <n v="12"/>
        <n v="13"/>
        <n v="14"/>
        <n v="15"/>
        <n v="16"/>
        <n v="17"/>
        <n v="18"/>
        <n v="19"/>
        <n v="21"/>
        <n v="22"/>
        <n v="24"/>
        <n v="27"/>
        <n v="28"/>
        <n v="29"/>
        <n v="30"/>
        <n v="34"/>
        <n v="35"/>
        <n v="36"/>
        <n v="37"/>
        <n v="39"/>
        <n v="49"/>
        <n v="50"/>
        <n v="59"/>
        <n v="67"/>
        <n v="70"/>
        <n v="71"/>
        <n v="72"/>
        <n v="73"/>
        <n v="79"/>
        <n v="84"/>
        <n v="96"/>
        <n v="100"/>
        <n v="101"/>
        <n v="109"/>
        <n v="110"/>
        <n v="125"/>
        <n v="147"/>
        <n v="155"/>
        <n v="205"/>
        <n v="283"/>
        <n v="723"/>
        <n v="822"/>
        <m/>
      </sharedItems>
    </cacheField>
    <cacheField name="CALIBRATORS_ATTEMPTED" numFmtId="0">
      <sharedItems containsString="0" containsBlank="1" containsNumber="1" containsInteger="1" minValue="0" maxValue="750" count="70">
        <n v="0"/>
        <n v="3"/>
        <n v="4"/>
        <n v="6"/>
        <n v="8"/>
        <n v="9"/>
        <n v="10"/>
        <n v="12"/>
        <n v="15"/>
        <n v="16"/>
        <n v="18"/>
        <n v="20"/>
        <n v="24"/>
        <n v="30"/>
        <n v="32"/>
        <n v="33"/>
        <n v="36"/>
        <n v="40"/>
        <n v="44"/>
        <n v="45"/>
        <n v="48"/>
        <n v="50"/>
        <n v="54"/>
        <n v="56"/>
        <n v="58"/>
        <n v="60"/>
        <n v="64"/>
        <n v="66"/>
        <n v="70"/>
        <n v="72"/>
        <n v="80"/>
        <n v="84"/>
        <n v="90"/>
        <n v="96"/>
        <n v="99"/>
        <n v="100"/>
        <n v="102"/>
        <n v="105"/>
        <n v="108"/>
        <n v="110"/>
        <n v="112"/>
        <n v="117"/>
        <n v="120"/>
        <n v="126"/>
        <n v="132"/>
        <n v="138"/>
        <n v="144"/>
        <n v="150"/>
        <n v="156"/>
        <n v="160"/>
        <n v="192"/>
        <n v="198"/>
        <n v="204"/>
        <n v="228"/>
        <n v="234"/>
        <n v="238"/>
        <n v="240"/>
        <n v="276"/>
        <n v="378"/>
        <n v="390"/>
        <n v="546"/>
        <n v="576"/>
        <n v="606"/>
        <n v="696"/>
        <n v="702"/>
        <n v="714"/>
        <n v="720"/>
        <n v="738"/>
        <n v="750"/>
        <m/>
      </sharedItems>
    </cacheField>
    <cacheField name="CONTROLS_ATTEMPTED" numFmtId="0">
      <sharedItems containsString="0" containsBlank="1" containsNumber="1" containsInteger="1" minValue="0" maxValue="434" count="168">
        <n v="0"/>
        <n v="2"/>
        <n v="3"/>
        <n v="4"/>
        <n v="6"/>
        <n v="17"/>
        <n v="19"/>
        <n v="22"/>
        <n v="30"/>
        <n v="44"/>
        <n v="62"/>
        <n v="71"/>
        <n v="84"/>
        <n v="85"/>
        <n v="99"/>
        <n v="114"/>
        <n v="122"/>
        <n v="123"/>
        <n v="128"/>
        <n v="138"/>
        <n v="143"/>
        <n v="146"/>
        <n v="150"/>
        <n v="156"/>
        <n v="157"/>
        <n v="162"/>
        <n v="166"/>
        <n v="167"/>
        <n v="172"/>
        <n v="173"/>
        <n v="175"/>
        <n v="179"/>
        <n v="181"/>
        <n v="182"/>
        <n v="184"/>
        <n v="185"/>
        <n v="186"/>
        <n v="188"/>
        <n v="189"/>
        <n v="190"/>
        <n v="192"/>
        <n v="193"/>
        <n v="194"/>
        <n v="196"/>
        <n v="197"/>
        <n v="198"/>
        <n v="200"/>
        <n v="201"/>
        <n v="202"/>
        <n v="203"/>
        <n v="204"/>
        <n v="205"/>
        <n v="206"/>
        <n v="207"/>
        <n v="210"/>
        <n v="211"/>
        <n v="212"/>
        <n v="214"/>
        <n v="216"/>
        <n v="218"/>
        <n v="219"/>
        <n v="220"/>
        <n v="221"/>
        <n v="222"/>
        <n v="223"/>
        <n v="224"/>
        <n v="226"/>
        <n v="227"/>
        <n v="229"/>
        <n v="230"/>
        <n v="231"/>
        <n v="232"/>
        <n v="233"/>
        <n v="234"/>
        <n v="236"/>
        <n v="237"/>
        <n v="238"/>
        <n v="239"/>
        <n v="240"/>
        <n v="241"/>
        <n v="242"/>
        <n v="243"/>
        <n v="245"/>
        <n v="246"/>
        <n v="247"/>
        <n v="249"/>
        <n v="250"/>
        <n v="252"/>
        <n v="253"/>
        <n v="254"/>
        <n v="256"/>
        <n v="258"/>
        <n v="259"/>
        <n v="260"/>
        <n v="261"/>
        <n v="262"/>
        <n v="263"/>
        <n v="264"/>
        <n v="265"/>
        <n v="267"/>
        <n v="268"/>
        <n v="269"/>
        <n v="270"/>
        <n v="274"/>
        <n v="275"/>
        <n v="276"/>
        <n v="277"/>
        <n v="280"/>
        <n v="281"/>
        <n v="282"/>
        <n v="289"/>
        <n v="290"/>
        <n v="291"/>
        <n v="292"/>
        <n v="293"/>
        <n v="295"/>
        <n v="296"/>
        <n v="297"/>
        <n v="299"/>
        <n v="300"/>
        <n v="301"/>
        <n v="302"/>
        <n v="304"/>
        <n v="305"/>
        <n v="306"/>
        <n v="307"/>
        <n v="308"/>
        <n v="309"/>
        <n v="310"/>
        <n v="312"/>
        <n v="313"/>
        <n v="314"/>
        <n v="315"/>
        <n v="317"/>
        <n v="319"/>
        <n v="321"/>
        <n v="322"/>
        <n v="325"/>
        <n v="326"/>
        <n v="327"/>
        <n v="328"/>
        <n v="329"/>
        <n v="331"/>
        <n v="339"/>
        <n v="340"/>
        <n v="343"/>
        <n v="344"/>
        <n v="348"/>
        <n v="350"/>
        <n v="353"/>
        <n v="355"/>
        <n v="356"/>
        <n v="360"/>
        <n v="362"/>
        <n v="363"/>
        <n v="364"/>
        <n v="366"/>
        <n v="367"/>
        <n v="371"/>
        <n v="372"/>
        <n v="373"/>
        <n v="381"/>
        <n v="388"/>
        <n v="390"/>
        <n v="419"/>
        <n v="422"/>
        <n v="434"/>
        <m/>
      </sharedItems>
    </cacheField>
    <cacheField name="CONTROLS_COMPLETED" numFmtId="0">
      <sharedItems containsString="0" containsBlank="1" containsNumber="1" containsInteger="1" minValue="0" maxValue="390" count="147">
        <n v="0"/>
        <n v="2"/>
        <n v="3"/>
        <n v="4"/>
        <n v="6"/>
        <n v="17"/>
        <n v="18"/>
        <n v="20"/>
        <n v="21"/>
        <n v="30"/>
        <n v="44"/>
        <n v="58"/>
        <n v="64"/>
        <n v="69"/>
        <n v="79"/>
        <n v="83"/>
        <n v="89"/>
        <n v="112"/>
        <n v="116"/>
        <n v="126"/>
        <n v="138"/>
        <n v="143"/>
        <n v="144"/>
        <n v="149"/>
        <n v="152"/>
        <n v="159"/>
        <n v="164"/>
        <n v="167"/>
        <n v="169"/>
        <n v="170"/>
        <n v="171"/>
        <n v="173"/>
        <n v="175"/>
        <n v="176"/>
        <n v="177"/>
        <n v="178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7"/>
        <n v="208"/>
        <n v="209"/>
        <n v="210"/>
        <n v="211"/>
        <n v="212"/>
        <n v="213"/>
        <n v="214"/>
        <n v="215"/>
        <n v="216"/>
        <n v="219"/>
        <n v="220"/>
        <n v="221"/>
        <n v="222"/>
        <n v="223"/>
        <n v="224"/>
        <n v="225"/>
        <n v="227"/>
        <n v="228"/>
        <n v="229"/>
        <n v="230"/>
        <n v="233"/>
        <n v="234"/>
        <n v="237"/>
        <n v="238"/>
        <n v="239"/>
        <n v="240"/>
        <n v="242"/>
        <n v="243"/>
        <n v="244"/>
        <n v="245"/>
        <n v="246"/>
        <n v="247"/>
        <n v="248"/>
        <n v="250"/>
        <n v="251"/>
        <n v="252"/>
        <n v="255"/>
        <n v="257"/>
        <n v="258"/>
        <n v="260"/>
        <n v="261"/>
        <n v="262"/>
        <n v="264"/>
        <n v="265"/>
        <n v="266"/>
        <n v="267"/>
        <n v="270"/>
        <n v="273"/>
        <n v="274"/>
        <n v="275"/>
        <n v="277"/>
        <n v="281"/>
        <n v="282"/>
        <n v="283"/>
        <n v="284"/>
        <n v="285"/>
        <n v="287"/>
        <n v="291"/>
        <n v="294"/>
        <n v="295"/>
        <n v="297"/>
        <n v="299"/>
        <n v="300"/>
        <n v="302"/>
        <n v="306"/>
        <n v="311"/>
        <n v="313"/>
        <n v="316"/>
        <n v="318"/>
        <n v="321"/>
        <n v="325"/>
        <n v="329"/>
        <n v="330"/>
        <n v="337"/>
        <n v="342"/>
        <n v="343"/>
        <n v="352"/>
        <n v="355"/>
        <n v="357"/>
        <n v="361"/>
        <n v="362"/>
        <n v="363"/>
        <n v="385"/>
        <n v="390"/>
        <m/>
      </sharedItems>
    </cacheField>
    <cacheField name="TOTAL_ATTEMPTED" numFmtId="0">
      <sharedItems containsString="0" containsBlank="1" containsNumber="1" containsInteger="1" minValue="3" maxValue="28365" count="276">
        <n v="3"/>
        <n v="4"/>
        <n v="6"/>
        <n v="9"/>
        <n v="11"/>
        <n v="12"/>
        <n v="13"/>
        <n v="14"/>
        <n v="15"/>
        <n v="16"/>
        <n v="17"/>
        <n v="22"/>
        <n v="23"/>
        <n v="24"/>
        <n v="25"/>
        <n v="31"/>
        <n v="37"/>
        <n v="43"/>
        <n v="51"/>
        <n v="55"/>
        <n v="57"/>
        <n v="99"/>
        <n v="100"/>
        <n v="143"/>
        <n v="156"/>
        <n v="165"/>
        <n v="176"/>
        <n v="194"/>
        <n v="195"/>
        <n v="213"/>
        <n v="219"/>
        <n v="220"/>
        <n v="221"/>
        <n v="228"/>
        <n v="230"/>
        <n v="233"/>
        <n v="234"/>
        <n v="236"/>
        <n v="240"/>
        <n v="250"/>
        <n v="252"/>
        <n v="254"/>
        <n v="258"/>
        <n v="261"/>
        <n v="264"/>
        <n v="282"/>
        <n v="290"/>
        <n v="300"/>
        <n v="306"/>
        <n v="310"/>
        <n v="314"/>
        <n v="316"/>
        <n v="335"/>
        <n v="356"/>
        <n v="374"/>
        <n v="392"/>
        <n v="394"/>
        <n v="395"/>
        <n v="400"/>
        <n v="406"/>
        <n v="409"/>
        <n v="419"/>
        <n v="423"/>
        <n v="426"/>
        <n v="434"/>
        <n v="440"/>
        <n v="443"/>
        <n v="447"/>
        <n v="455"/>
        <n v="479"/>
        <n v="482"/>
        <n v="484"/>
        <n v="490"/>
        <n v="491"/>
        <n v="495"/>
        <n v="512"/>
        <n v="541"/>
        <n v="549"/>
        <n v="587"/>
        <n v="594"/>
        <n v="614"/>
        <n v="632"/>
        <n v="645"/>
        <n v="653"/>
        <n v="662"/>
        <n v="666"/>
        <n v="687"/>
        <n v="705"/>
        <n v="716"/>
        <n v="726"/>
        <n v="730"/>
        <n v="734"/>
        <n v="769"/>
        <n v="801"/>
        <n v="806"/>
        <n v="824"/>
        <n v="864"/>
        <n v="867"/>
        <n v="871"/>
        <n v="878"/>
        <n v="897"/>
        <n v="898"/>
        <n v="899"/>
        <n v="924"/>
        <n v="941"/>
        <n v="944"/>
        <n v="960"/>
        <n v="961"/>
        <n v="967"/>
        <n v="969"/>
        <n v="977"/>
        <n v="981"/>
        <n v="988"/>
        <n v="993"/>
        <n v="1019"/>
        <n v="1042"/>
        <n v="1043"/>
        <n v="1071"/>
        <n v="1161"/>
        <n v="1176"/>
        <n v="1194"/>
        <n v="1196"/>
        <n v="1224"/>
        <n v="1232"/>
        <n v="1234"/>
        <n v="1236"/>
        <n v="1249"/>
        <n v="1253"/>
        <n v="1274"/>
        <n v="1325"/>
        <n v="1354"/>
        <n v="1367"/>
        <n v="1369"/>
        <n v="1402"/>
        <n v="1412"/>
        <n v="1431"/>
        <n v="1441"/>
        <n v="1475"/>
        <n v="1480"/>
        <n v="1517"/>
        <n v="1520"/>
        <n v="1521"/>
        <n v="1535"/>
        <n v="1545"/>
        <n v="1581"/>
        <n v="1596"/>
        <n v="1651"/>
        <n v="1653"/>
        <n v="1681"/>
        <n v="1699"/>
        <n v="1721"/>
        <n v="1764"/>
        <n v="1846"/>
        <n v="1981"/>
        <n v="2014"/>
        <n v="2037"/>
        <n v="2110"/>
        <n v="2191"/>
        <n v="2239"/>
        <n v="2240"/>
        <n v="2242"/>
        <n v="2280"/>
        <n v="2302"/>
        <n v="2305"/>
        <n v="2317"/>
        <n v="2330"/>
        <n v="2351"/>
        <n v="2357"/>
        <n v="2368"/>
        <n v="2416"/>
        <n v="2482"/>
        <n v="2504"/>
        <n v="2534"/>
        <n v="2544"/>
        <n v="2547"/>
        <n v="2558"/>
        <n v="2566"/>
        <n v="2627"/>
        <n v="2688"/>
        <n v="2925"/>
        <n v="2949"/>
        <n v="3127"/>
        <n v="3288"/>
        <n v="3396"/>
        <n v="3426"/>
        <n v="3686"/>
        <n v="3909"/>
        <n v="3943"/>
        <n v="3968"/>
        <n v="3986"/>
        <n v="4214"/>
        <n v="4327"/>
        <n v="4345"/>
        <n v="4494"/>
        <n v="4631"/>
        <n v="4662"/>
        <n v="4829"/>
        <n v="5061"/>
        <n v="5118"/>
        <n v="5184"/>
        <n v="5185"/>
        <n v="5376"/>
        <n v="6013"/>
        <n v="6085"/>
        <n v="6188"/>
        <n v="6281"/>
        <n v="6532"/>
        <n v="6536"/>
        <n v="6549"/>
        <n v="6615"/>
        <n v="6752"/>
        <n v="6766"/>
        <n v="6786"/>
        <n v="7576"/>
        <n v="7580"/>
        <n v="7770"/>
        <n v="7783"/>
        <n v="7849"/>
        <n v="7878"/>
        <n v="7883"/>
        <n v="7887"/>
        <n v="8020"/>
        <n v="8092"/>
        <n v="8344"/>
        <n v="9428"/>
        <n v="9576"/>
        <n v="9791"/>
        <n v="9826"/>
        <n v="9872"/>
        <n v="10206"/>
        <n v="10300"/>
        <n v="10461"/>
        <n v="10496"/>
        <n v="10596"/>
        <n v="10635"/>
        <n v="11138"/>
        <n v="11442"/>
        <n v="11735"/>
        <n v="11764"/>
        <n v="11766"/>
        <n v="11836"/>
        <n v="11854"/>
        <n v="12018"/>
        <n v="12036"/>
        <n v="12141"/>
        <n v="12202"/>
        <n v="12326"/>
        <n v="12330"/>
        <n v="12902"/>
        <n v="12919"/>
        <n v="12941"/>
        <n v="13002"/>
        <n v="13019"/>
        <n v="13119"/>
        <n v="13385"/>
        <n v="13716"/>
        <n v="14126"/>
        <n v="15101"/>
        <n v="15730"/>
        <n v="16635"/>
        <n v="17147"/>
        <n v="17851"/>
        <n v="17916"/>
        <n v="19672"/>
        <n v="19859"/>
        <n v="20738"/>
        <n v="20740"/>
        <n v="20755"/>
        <n v="26880"/>
        <n v="26881"/>
        <n v="26882"/>
        <n v="26917"/>
        <n v="28337"/>
        <n v="28338"/>
        <n v="28365"/>
        <m/>
      </sharedItems>
    </cacheField>
    <cacheField name="TOT/MM" numFmtId="0">
      <sharedItems containsString="0" containsBlank="1" containsNumber="1" minValue="1" maxValue="9455" count="276">
        <n v="1"/>
        <n v="1.3333333333333299"/>
        <n v="2"/>
        <n v="3"/>
        <n v="3.6666666666666701"/>
        <n v="4"/>
        <n v="4.3333333333333304"/>
        <n v="4.6666666666666696"/>
        <n v="5"/>
        <n v="5.3333333333333304"/>
        <n v="5.6666666666666696"/>
        <n v="7.3333333333333304"/>
        <n v="7.6666666666666696"/>
        <n v="8"/>
        <n v="8.3333333333333304"/>
        <n v="10.3333333333333"/>
        <n v="12.3333333333333"/>
        <n v="14.3333333333333"/>
        <n v="17"/>
        <n v="18.3333333333333"/>
        <n v="19"/>
        <n v="33"/>
        <n v="33.3333333333333"/>
        <n v="47.6666666666667"/>
        <n v="52"/>
        <n v="55"/>
        <n v="58.6666666666667"/>
        <n v="64.6666666666667"/>
        <n v="65"/>
        <n v="71"/>
        <n v="73"/>
        <n v="73.3333333333333"/>
        <n v="73.6666666666667"/>
        <n v="76"/>
        <n v="76.6666666666667"/>
        <n v="77.6666666666667"/>
        <n v="78"/>
        <n v="78.6666666666667"/>
        <n v="80"/>
        <n v="83.3333333333333"/>
        <n v="84"/>
        <n v="84.6666666666667"/>
        <n v="86"/>
        <n v="87"/>
        <n v="88"/>
        <n v="94"/>
        <n v="96.6666666666667"/>
        <n v="100"/>
        <n v="102"/>
        <n v="103.333333333333"/>
        <n v="104.666666666667"/>
        <n v="105.333333333333"/>
        <n v="111.666666666667"/>
        <n v="118.666666666667"/>
        <n v="124.666666666667"/>
        <n v="130.666666666667"/>
        <n v="131.333333333333"/>
        <n v="131.666666666667"/>
        <n v="133.333333333333"/>
        <n v="135.333333333333"/>
        <n v="136.333333333333"/>
        <n v="139.666666666667"/>
        <n v="141"/>
        <n v="142"/>
        <n v="144.666666666667"/>
        <n v="146.666666666667"/>
        <n v="147.666666666667"/>
        <n v="149"/>
        <n v="151.666666666667"/>
        <n v="159.666666666667"/>
        <n v="160.666666666667"/>
        <n v="161.333333333333"/>
        <n v="163.333333333333"/>
        <n v="163.666666666667"/>
        <n v="165"/>
        <n v="170.666666666667"/>
        <n v="180.333333333333"/>
        <n v="183"/>
        <n v="195.666666666667"/>
        <n v="198"/>
        <n v="204.666666666667"/>
        <n v="210.666666666667"/>
        <n v="215"/>
        <n v="217.666666666667"/>
        <n v="220.666666666667"/>
        <n v="222"/>
        <n v="229"/>
        <n v="235"/>
        <n v="238.666666666667"/>
        <n v="242"/>
        <n v="243.333333333333"/>
        <n v="244.666666666667"/>
        <n v="256.33333333333297"/>
        <n v="267"/>
        <n v="268.66666666666703"/>
        <n v="274.66666666666703"/>
        <n v="288"/>
        <n v="289"/>
        <n v="290.33333333333297"/>
        <n v="292.66666666666703"/>
        <n v="299"/>
        <n v="299.33333333333297"/>
        <n v="299.66666666666703"/>
        <n v="308"/>
        <n v="313.66666666666703"/>
        <n v="314.66666666666703"/>
        <n v="320"/>
        <n v="320.33333333333297"/>
        <n v="322.33333333333297"/>
        <n v="323"/>
        <n v="325.66666666666703"/>
        <n v="327"/>
        <n v="329.33333333333297"/>
        <n v="331"/>
        <n v="339.66666666666703"/>
        <n v="347.33333333333297"/>
        <n v="347.66666666666703"/>
        <n v="357"/>
        <n v="387"/>
        <n v="392"/>
        <n v="398"/>
        <n v="398.66666666666703"/>
        <n v="408"/>
        <n v="410.66666666666703"/>
        <n v="411.33333333333297"/>
        <n v="412"/>
        <n v="416.33333333333297"/>
        <n v="417.66666666666703"/>
        <n v="424.66666666666703"/>
        <n v="441.66666666666703"/>
        <n v="451.33333333333297"/>
        <n v="455.66666666666703"/>
        <n v="456.33333333333297"/>
        <n v="467.33333333333297"/>
        <n v="470.66666666666703"/>
        <n v="477"/>
        <n v="480.33333333333297"/>
        <n v="491.66666666666703"/>
        <n v="493.33333333333297"/>
        <n v="505.66666666666703"/>
        <n v="506.66666666666703"/>
        <n v="507"/>
        <n v="511.66666666666703"/>
        <n v="515"/>
        <n v="527"/>
        <n v="532"/>
        <n v="550.33333333333303"/>
        <n v="551"/>
        <n v="560.33333333333303"/>
        <n v="566.33333333333303"/>
        <n v="573.66666666666697"/>
        <n v="588"/>
        <n v="615.33333333333303"/>
        <n v="660.33333333333303"/>
        <n v="671.33333333333303"/>
        <n v="679"/>
        <n v="703.33333333333303"/>
        <n v="730.33333333333303"/>
        <n v="746.33333333333303"/>
        <n v="746.66666666666697"/>
        <n v="747.33333333333303"/>
        <n v="760"/>
        <n v="767.33333333333303"/>
        <n v="768.33333333333303"/>
        <n v="772.33333333333303"/>
        <n v="776.66666666666697"/>
        <n v="783.66666666666697"/>
        <n v="785.66666666666697"/>
        <n v="789.33333333333303"/>
        <n v="805.33333333333303"/>
        <n v="827.33333333333303"/>
        <n v="834.66666666666697"/>
        <n v="844.66666666666697"/>
        <n v="848"/>
        <n v="849"/>
        <n v="852.66666666666697"/>
        <n v="855.33333333333303"/>
        <n v="875.66666666666697"/>
        <n v="896"/>
        <n v="975"/>
        <n v="983"/>
        <n v="1042.3333333333301"/>
        <n v="1096"/>
        <n v="1132"/>
        <n v="1142"/>
        <n v="1228.6666666666699"/>
        <n v="1303"/>
        <n v="1314.3333333333301"/>
        <n v="1322.6666666666699"/>
        <n v="1328.6666666666699"/>
        <n v="1404.6666666666699"/>
        <n v="1442.3333333333301"/>
        <n v="1448.3333333333301"/>
        <n v="1498"/>
        <n v="1543.6666666666699"/>
        <n v="1554"/>
        <n v="1609.6666666666699"/>
        <n v="1687"/>
        <n v="1706"/>
        <n v="1728"/>
        <n v="1728.3333333333301"/>
        <n v="1792"/>
        <n v="2004.3333333333301"/>
        <n v="2028.3333333333301"/>
        <n v="2062.6666666666702"/>
        <n v="2093.6666666666702"/>
        <n v="2177.3333333333298"/>
        <n v="2178.6666666666702"/>
        <n v="2183"/>
        <n v="2205"/>
        <n v="2250.6666666666702"/>
        <n v="2255.3333333333298"/>
        <n v="2262"/>
        <n v="2525.3333333333298"/>
        <n v="2526.6666666666702"/>
        <n v="2590"/>
        <n v="2594.3333333333298"/>
        <n v="2616.3333333333298"/>
        <n v="2626"/>
        <n v="2627.6666666666702"/>
        <n v="2629"/>
        <n v="2673.3333333333298"/>
        <n v="2697.3333333333298"/>
        <n v="2781.3333333333298"/>
        <n v="3142.6666666666702"/>
        <n v="3192"/>
        <n v="3263.6666666666702"/>
        <n v="3275.3333333333298"/>
        <n v="3290.6666666666702"/>
        <n v="3402"/>
        <n v="3433.3333333333298"/>
        <n v="3487"/>
        <n v="3498.6666666666702"/>
        <n v="3532"/>
        <n v="3545"/>
        <n v="3712.6666666666702"/>
        <n v="3814"/>
        <n v="3911.6666666666702"/>
        <n v="3921.3333333333298"/>
        <n v="3922"/>
        <n v="3945.3333333333298"/>
        <n v="3951.3333333333298"/>
        <n v="4006"/>
        <n v="4012"/>
        <n v="4047"/>
        <n v="4067.3333333333298"/>
        <n v="4108.6666666666697"/>
        <n v="4110"/>
        <n v="4300.6666666666697"/>
        <n v="4306.3333333333303"/>
        <n v="4313.6666666666697"/>
        <n v="4334"/>
        <n v="4339.6666666666697"/>
        <n v="4373"/>
        <n v="4461.6666666666697"/>
        <n v="4572"/>
        <n v="4708.6666666666697"/>
        <n v="5033.6666666666697"/>
        <n v="5243.3333333333303"/>
        <n v="5545"/>
        <n v="5715.6666666666697"/>
        <n v="5950.3333333333303"/>
        <n v="5972"/>
        <n v="6557.3333333333303"/>
        <n v="6619.6666666666697"/>
        <n v="6912.6666666666697"/>
        <n v="6913.3333333333303"/>
        <n v="6918.3333333333303"/>
        <n v="8960"/>
        <n v="8960.3333333333303"/>
        <n v="8960.6666666666697"/>
        <n v="8972.3333333333303"/>
        <n v="9445.6666666666697"/>
        <n v="9446"/>
        <n v="9455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90">
  <r>
    <x v="0"/>
    <x v="0"/>
    <x v="2"/>
    <x v="128"/>
    <x v="21"/>
    <x v="22"/>
    <x v="3"/>
    <x v="2"/>
    <x v="25"/>
    <x v="51"/>
    <x v="50"/>
    <x v="48"/>
    <x v="48"/>
  </r>
  <r>
    <x v="0"/>
    <x v="0"/>
    <x v="3"/>
    <x v="123"/>
    <x v="39"/>
    <x v="38"/>
    <x v="5"/>
    <x v="0"/>
    <x v="16"/>
    <x v="46"/>
    <x v="45"/>
    <x v="53"/>
    <x v="53"/>
  </r>
  <r>
    <x v="0"/>
    <x v="0"/>
    <x v="0"/>
    <x v="55"/>
    <x v="228"/>
    <x v="227"/>
    <x v="163"/>
    <x v="20"/>
    <x v="12"/>
    <x v="165"/>
    <x v="145"/>
    <x v="259"/>
    <x v="259"/>
  </r>
  <r>
    <x v="0"/>
    <x v="0"/>
    <x v="0"/>
    <x v="55"/>
    <x v="214"/>
    <x v="218"/>
    <x v="109"/>
    <x v="34"/>
    <x v="8"/>
    <x v="150"/>
    <x v="135"/>
    <x v="245"/>
    <x v="245"/>
  </r>
  <r>
    <x v="0"/>
    <x v="0"/>
    <x v="0"/>
    <x v="55"/>
    <x v="229"/>
    <x v="228"/>
    <x v="156"/>
    <x v="32"/>
    <x v="8"/>
    <x v="160"/>
    <x v="141"/>
    <x v="260"/>
    <x v="260"/>
  </r>
  <r>
    <x v="0"/>
    <x v="0"/>
    <x v="1"/>
    <x v="58"/>
    <x v="226"/>
    <x v="223"/>
    <x v="160"/>
    <x v="1"/>
    <x v="8"/>
    <x v="162"/>
    <x v="140"/>
    <x v="257"/>
    <x v="257"/>
  </r>
  <r>
    <x v="0"/>
    <x v="0"/>
    <x v="1"/>
    <x v="58"/>
    <x v="211"/>
    <x v="217"/>
    <x v="108"/>
    <x v="8"/>
    <x v="10"/>
    <x v="146"/>
    <x v="132"/>
    <x v="241"/>
    <x v="241"/>
  </r>
  <r>
    <x v="0"/>
    <x v="0"/>
    <x v="1"/>
    <x v="58"/>
    <x v="227"/>
    <x v="226"/>
    <x v="152"/>
    <x v="9"/>
    <x v="8"/>
    <x v="149"/>
    <x v="136"/>
    <x v="258"/>
    <x v="258"/>
  </r>
  <r>
    <x v="1"/>
    <x v="1"/>
    <x v="4"/>
    <x v="0"/>
    <x v="87"/>
    <x v="85"/>
    <x v="44"/>
    <x v="5"/>
    <x v="12"/>
    <x v="158"/>
    <x v="119"/>
    <x v="119"/>
    <x v="119"/>
  </r>
  <r>
    <x v="0"/>
    <x v="0"/>
    <x v="5"/>
    <x v="85"/>
    <x v="105"/>
    <x v="104"/>
    <x v="60"/>
    <x v="0"/>
    <x v="10"/>
    <x v="62"/>
    <x v="59"/>
    <x v="132"/>
    <x v="132"/>
  </r>
  <r>
    <x v="0"/>
    <x v="0"/>
    <x v="5"/>
    <x v="85"/>
    <x v="114"/>
    <x v="117"/>
    <x v="45"/>
    <x v="0"/>
    <x v="12"/>
    <x v="33"/>
    <x v="33"/>
    <x v="144"/>
    <x v="144"/>
  </r>
  <r>
    <x v="0"/>
    <x v="0"/>
    <x v="5"/>
    <x v="85"/>
    <x v="104"/>
    <x v="105"/>
    <x v="56"/>
    <x v="0"/>
    <x v="12"/>
    <x v="58"/>
    <x v="65"/>
    <x v="131"/>
    <x v="131"/>
  </r>
  <r>
    <x v="0"/>
    <x v="0"/>
    <x v="6"/>
    <x v="98"/>
    <x v="163"/>
    <x v="163"/>
    <x v="107"/>
    <x v="0"/>
    <x v="15"/>
    <x v="135"/>
    <x v="122"/>
    <x v="195"/>
    <x v="195"/>
  </r>
  <r>
    <x v="0"/>
    <x v="0"/>
    <x v="6"/>
    <x v="98"/>
    <x v="110"/>
    <x v="113"/>
    <x v="24"/>
    <x v="0"/>
    <x v="16"/>
    <x v="73"/>
    <x v="71"/>
    <x v="139"/>
    <x v="139"/>
  </r>
  <r>
    <x v="0"/>
    <x v="0"/>
    <x v="6"/>
    <x v="98"/>
    <x v="161"/>
    <x v="158"/>
    <x v="104"/>
    <x v="0"/>
    <x v="15"/>
    <x v="107"/>
    <x v="108"/>
    <x v="192"/>
    <x v="192"/>
  </r>
  <r>
    <x v="0"/>
    <x v="0"/>
    <x v="7"/>
    <x v="131"/>
    <x v="34"/>
    <x v="34"/>
    <x v="13"/>
    <x v="8"/>
    <x v="60"/>
    <x v="86"/>
    <x v="92"/>
    <x v="100"/>
    <x v="100"/>
  </r>
  <r>
    <x v="0"/>
    <x v="0"/>
    <x v="7"/>
    <x v="131"/>
    <x v="1"/>
    <x v="1"/>
    <x v="1"/>
    <x v="0"/>
    <x v="3"/>
    <x v="1"/>
    <x v="1"/>
    <x v="3"/>
    <x v="3"/>
  </r>
  <r>
    <x v="0"/>
    <x v="0"/>
    <x v="8"/>
    <x v="110"/>
    <x v="85"/>
    <x v="86"/>
    <x v="9"/>
    <x v="0"/>
    <x v="28"/>
    <x v="49"/>
    <x v="51"/>
    <x v="112"/>
    <x v="112"/>
  </r>
  <r>
    <x v="0"/>
    <x v="0"/>
    <x v="8"/>
    <x v="110"/>
    <x v="11"/>
    <x v="12"/>
    <x v="0"/>
    <x v="0"/>
    <x v="11"/>
    <x v="3"/>
    <x v="3"/>
    <x v="16"/>
    <x v="16"/>
  </r>
  <r>
    <x v="0"/>
    <x v="0"/>
    <x v="10"/>
    <x v="87"/>
    <x v="116"/>
    <x v="114"/>
    <x v="74"/>
    <x v="0"/>
    <x v="5"/>
    <x v="105"/>
    <x v="100"/>
    <x v="150"/>
    <x v="150"/>
  </r>
  <r>
    <x v="0"/>
    <x v="0"/>
    <x v="10"/>
    <x v="87"/>
    <x v="65"/>
    <x v="65"/>
    <x v="10"/>
    <x v="0"/>
    <x v="7"/>
    <x v="55"/>
    <x v="54"/>
    <x v="80"/>
    <x v="80"/>
  </r>
  <r>
    <x v="0"/>
    <x v="0"/>
    <x v="10"/>
    <x v="87"/>
    <x v="113"/>
    <x v="112"/>
    <x v="61"/>
    <x v="0"/>
    <x v="5"/>
    <x v="66"/>
    <x v="70"/>
    <x v="145"/>
    <x v="145"/>
  </r>
  <r>
    <x v="0"/>
    <x v="0"/>
    <x v="9"/>
    <x v="88"/>
    <x v="1"/>
    <x v="1"/>
    <x v="0"/>
    <x v="0"/>
    <x v="0"/>
    <x v="77"/>
    <x v="76"/>
    <x v="38"/>
    <x v="38"/>
  </r>
  <r>
    <x v="0"/>
    <x v="0"/>
    <x v="9"/>
    <x v="88"/>
    <x v="1"/>
    <x v="1"/>
    <x v="0"/>
    <x v="0"/>
    <x v="0"/>
    <x v="30"/>
    <x v="28"/>
    <x v="26"/>
    <x v="26"/>
  </r>
  <r>
    <x v="0"/>
    <x v="0"/>
    <x v="9"/>
    <x v="88"/>
    <x v="0"/>
    <x v="0"/>
    <x v="0"/>
    <x v="0"/>
    <x v="0"/>
    <x v="42"/>
    <x v="42"/>
    <x v="27"/>
    <x v="27"/>
  </r>
  <r>
    <x v="1"/>
    <x v="1"/>
    <x v="11"/>
    <x v="48"/>
    <x v="112"/>
    <x v="116"/>
    <x v="33"/>
    <x v="0"/>
    <x v="5"/>
    <x v="87"/>
    <x v="76"/>
    <x v="143"/>
    <x v="143"/>
  </r>
  <r>
    <x v="1"/>
    <x v="1"/>
    <x v="12"/>
    <x v="21"/>
    <x v="96"/>
    <x v="96"/>
    <x v="33"/>
    <x v="0"/>
    <x v="3"/>
    <x v="90"/>
    <x v="91"/>
    <x v="127"/>
    <x v="127"/>
  </r>
  <r>
    <x v="1"/>
    <x v="1"/>
    <x v="13"/>
    <x v="20"/>
    <x v="98"/>
    <x v="99"/>
    <x v="24"/>
    <x v="0"/>
    <x v="3"/>
    <x v="83"/>
    <x v="75"/>
    <x v="126"/>
    <x v="126"/>
  </r>
  <r>
    <x v="1"/>
    <x v="1"/>
    <x v="17"/>
    <x v="46"/>
    <x v="120"/>
    <x v="119"/>
    <x v="63"/>
    <x v="44"/>
    <x v="12"/>
    <x v="91"/>
    <x v="95"/>
    <x v="151"/>
    <x v="151"/>
  </r>
  <r>
    <x v="1"/>
    <x v="1"/>
    <x v="17"/>
    <x v="46"/>
    <x v="130"/>
    <x v="132"/>
    <x v="80"/>
    <x v="45"/>
    <x v="12"/>
    <x v="94"/>
    <x v="94"/>
    <x v="158"/>
    <x v="158"/>
  </r>
  <r>
    <x v="1"/>
    <x v="1"/>
    <x v="14"/>
    <x v="34"/>
    <x v="123"/>
    <x v="125"/>
    <x v="42"/>
    <x v="0"/>
    <x v="1"/>
    <x v="37"/>
    <x v="39"/>
    <x v="152"/>
    <x v="152"/>
  </r>
  <r>
    <x v="1"/>
    <x v="1"/>
    <x v="14"/>
    <x v="34"/>
    <x v="149"/>
    <x v="149"/>
    <x v="76"/>
    <x v="0"/>
    <x v="1"/>
    <x v="58"/>
    <x v="46"/>
    <x v="180"/>
    <x v="180"/>
  </r>
  <r>
    <x v="1"/>
    <x v="1"/>
    <x v="15"/>
    <x v="9"/>
    <x v="127"/>
    <x v="130"/>
    <x v="62"/>
    <x v="22"/>
    <x v="20"/>
    <x v="154"/>
    <x v="119"/>
    <x v="162"/>
    <x v="162"/>
  </r>
  <r>
    <x v="1"/>
    <x v="1"/>
    <x v="16"/>
    <x v="11"/>
    <x v="126"/>
    <x v="126"/>
    <x v="70"/>
    <x v="33"/>
    <x v="12"/>
    <x v="158"/>
    <x v="121"/>
    <x v="157"/>
    <x v="157"/>
  </r>
  <r>
    <x v="0"/>
    <x v="0"/>
    <x v="18"/>
    <x v="59"/>
    <x v="42"/>
    <x v="41"/>
    <x v="10"/>
    <x v="0"/>
    <x v="22"/>
    <x v="45"/>
    <x v="43"/>
    <x v="55"/>
    <x v="55"/>
  </r>
  <r>
    <x v="0"/>
    <x v="0"/>
    <x v="19"/>
    <x v="60"/>
    <x v="11"/>
    <x v="8"/>
    <x v="3"/>
    <x v="0"/>
    <x v="29"/>
    <x v="11"/>
    <x v="13"/>
    <x v="24"/>
    <x v="24"/>
  </r>
  <r>
    <x v="0"/>
    <x v="0"/>
    <x v="19"/>
    <x v="60"/>
    <x v="41"/>
    <x v="39"/>
    <x v="6"/>
    <x v="1"/>
    <x v="38"/>
    <x v="50"/>
    <x v="49"/>
    <x v="64"/>
    <x v="64"/>
  </r>
  <r>
    <x v="0"/>
    <x v="0"/>
    <x v="20"/>
    <x v="124"/>
    <x v="52"/>
    <x v="54"/>
    <x v="15"/>
    <x v="3"/>
    <x v="16"/>
    <x v="58"/>
    <x v="60"/>
    <x v="75"/>
    <x v="75"/>
  </r>
  <r>
    <x v="0"/>
    <x v="0"/>
    <x v="22"/>
    <x v="125"/>
    <x v="75"/>
    <x v="74"/>
    <x v="49"/>
    <x v="23"/>
    <x v="25"/>
    <x v="97"/>
    <x v="84"/>
    <x v="98"/>
    <x v="98"/>
  </r>
  <r>
    <x v="0"/>
    <x v="0"/>
    <x v="23"/>
    <x v="111"/>
    <x v="15"/>
    <x v="17"/>
    <x v="0"/>
    <x v="0"/>
    <x v="28"/>
    <x v="39"/>
    <x v="39"/>
    <x v="45"/>
    <x v="45"/>
  </r>
  <r>
    <x v="0"/>
    <x v="0"/>
    <x v="23"/>
    <x v="111"/>
    <x v="0"/>
    <x v="0"/>
    <x v="0"/>
    <x v="0"/>
    <x v="6"/>
    <x v="2"/>
    <x v="2"/>
    <x v="6"/>
    <x v="6"/>
  </r>
  <r>
    <x v="0"/>
    <x v="0"/>
    <x v="24"/>
    <x v="112"/>
    <x v="92"/>
    <x v="93"/>
    <x v="7"/>
    <x v="0"/>
    <x v="49"/>
    <x v="50"/>
    <x v="51"/>
    <x v="125"/>
    <x v="125"/>
  </r>
  <r>
    <x v="0"/>
    <x v="0"/>
    <x v="24"/>
    <x v="112"/>
    <x v="9"/>
    <x v="10"/>
    <x v="0"/>
    <x v="0"/>
    <x v="6"/>
    <x v="2"/>
    <x v="2"/>
    <x v="13"/>
    <x v="13"/>
  </r>
  <r>
    <x v="1"/>
    <x v="1"/>
    <x v="21"/>
    <x v="44"/>
    <x v="64"/>
    <x v="64"/>
    <x v="48"/>
    <x v="31"/>
    <x v="25"/>
    <x v="151"/>
    <x v="106"/>
    <x v="94"/>
    <x v="94"/>
  </r>
  <r>
    <x v="1"/>
    <x v="1"/>
    <x v="21"/>
    <x v="44"/>
    <x v="0"/>
    <x v="0"/>
    <x v="0"/>
    <x v="0"/>
    <x v="7"/>
    <x v="2"/>
    <x v="2"/>
    <x v="8"/>
    <x v="8"/>
  </r>
  <r>
    <x v="1"/>
    <x v="1"/>
    <x v="21"/>
    <x v="44"/>
    <x v="57"/>
    <x v="59"/>
    <x v="28"/>
    <x v="25"/>
    <x v="42"/>
    <x v="115"/>
    <x v="104"/>
    <x v="89"/>
    <x v="89"/>
  </r>
  <r>
    <x v="0"/>
    <x v="0"/>
    <x v="25"/>
    <x v="122"/>
    <x v="47"/>
    <x v="48"/>
    <x v="2"/>
    <x v="1"/>
    <x v="10"/>
    <x v="95"/>
    <x v="93"/>
    <x v="69"/>
    <x v="69"/>
  </r>
  <r>
    <x v="0"/>
    <x v="0"/>
    <x v="26"/>
    <x v="67"/>
    <x v="194"/>
    <x v="192"/>
    <x v="145"/>
    <x v="14"/>
    <x v="34"/>
    <x v="139"/>
    <x v="126"/>
    <x v="225"/>
    <x v="225"/>
  </r>
  <r>
    <x v="0"/>
    <x v="0"/>
    <x v="26"/>
    <x v="67"/>
    <x v="184"/>
    <x v="189"/>
    <x v="92"/>
    <x v="11"/>
    <x v="32"/>
    <x v="113"/>
    <x v="114"/>
    <x v="215"/>
    <x v="215"/>
  </r>
  <r>
    <x v="0"/>
    <x v="0"/>
    <x v="26"/>
    <x v="67"/>
    <x v="197"/>
    <x v="195"/>
    <x v="133"/>
    <x v="10"/>
    <x v="41"/>
    <x v="126"/>
    <x v="123"/>
    <x v="227"/>
    <x v="227"/>
  </r>
  <r>
    <x v="1"/>
    <x v="1"/>
    <x v="27"/>
    <x v="43"/>
    <x v="100"/>
    <x v="102"/>
    <x v="31"/>
    <x v="9"/>
    <x v="7"/>
    <x v="71"/>
    <x v="69"/>
    <x v="128"/>
    <x v="128"/>
  </r>
  <r>
    <x v="1"/>
    <x v="1"/>
    <x v="27"/>
    <x v="43"/>
    <x v="153"/>
    <x v="155"/>
    <x v="33"/>
    <x v="18"/>
    <x v="0"/>
    <x v="52"/>
    <x v="45"/>
    <x v="184"/>
    <x v="184"/>
  </r>
  <r>
    <x v="0"/>
    <x v="0"/>
    <x v="28"/>
    <x v="139"/>
    <x v="55"/>
    <x v="58"/>
    <x v="8"/>
    <x v="0"/>
    <x v="47"/>
    <x v="32"/>
    <x v="35"/>
    <x v="81"/>
    <x v="81"/>
  </r>
  <r>
    <x v="0"/>
    <x v="0"/>
    <x v="30"/>
    <x v="61"/>
    <x v="68"/>
    <x v="66"/>
    <x v="34"/>
    <x v="0"/>
    <x v="16"/>
    <x v="69"/>
    <x v="67"/>
    <x v="87"/>
    <x v="87"/>
  </r>
  <r>
    <x v="0"/>
    <x v="0"/>
    <x v="30"/>
    <x v="61"/>
    <x v="0"/>
    <x v="0"/>
    <x v="0"/>
    <x v="0"/>
    <x v="0"/>
    <x v="2"/>
    <x v="0"/>
    <x v="0"/>
    <x v="0"/>
  </r>
  <r>
    <x v="0"/>
    <x v="0"/>
    <x v="31"/>
    <x v="62"/>
    <x v="69"/>
    <x v="67"/>
    <x v="35"/>
    <x v="0"/>
    <x v="22"/>
    <x v="60"/>
    <x v="56"/>
    <x v="88"/>
    <x v="88"/>
  </r>
  <r>
    <x v="0"/>
    <x v="0"/>
    <x v="31"/>
    <x v="62"/>
    <x v="0"/>
    <x v="0"/>
    <x v="0"/>
    <x v="0"/>
    <x v="0"/>
    <x v="2"/>
    <x v="0"/>
    <x v="0"/>
    <x v="0"/>
  </r>
  <r>
    <x v="1"/>
    <x v="1"/>
    <x v="32"/>
    <x v="35"/>
    <x v="94"/>
    <x v="90"/>
    <x v="44"/>
    <x v="16"/>
    <x v="31"/>
    <x v="128"/>
    <x v="89"/>
    <x v="129"/>
    <x v="129"/>
  </r>
  <r>
    <x v="1"/>
    <x v="1"/>
    <x v="33"/>
    <x v="22"/>
    <x v="103"/>
    <x v="97"/>
    <x v="51"/>
    <x v="6"/>
    <x v="20"/>
    <x v="152"/>
    <x v="113"/>
    <x v="137"/>
    <x v="137"/>
  </r>
  <r>
    <x v="1"/>
    <x v="1"/>
    <x v="34"/>
    <x v="37"/>
    <x v="109"/>
    <x v="107"/>
    <x v="59"/>
    <x v="21"/>
    <x v="7"/>
    <x v="79"/>
    <x v="67"/>
    <x v="136"/>
    <x v="136"/>
  </r>
  <r>
    <x v="0"/>
    <x v="0"/>
    <x v="35"/>
    <x v="94"/>
    <x v="200"/>
    <x v="198"/>
    <x v="147"/>
    <x v="0"/>
    <x v="25"/>
    <x v="92"/>
    <x v="89"/>
    <x v="231"/>
    <x v="231"/>
  </r>
  <r>
    <x v="0"/>
    <x v="0"/>
    <x v="35"/>
    <x v="94"/>
    <x v="193"/>
    <x v="196"/>
    <x v="103"/>
    <x v="0"/>
    <x v="29"/>
    <x v="62"/>
    <x v="64"/>
    <x v="224"/>
    <x v="224"/>
  </r>
  <r>
    <x v="0"/>
    <x v="0"/>
    <x v="35"/>
    <x v="94"/>
    <x v="203"/>
    <x v="201"/>
    <x v="136"/>
    <x v="0"/>
    <x v="25"/>
    <x v="57"/>
    <x v="63"/>
    <x v="233"/>
    <x v="233"/>
  </r>
  <r>
    <x v="0"/>
    <x v="0"/>
    <x v="36"/>
    <x v="95"/>
    <x v="16"/>
    <x v="16"/>
    <x v="1"/>
    <x v="1"/>
    <x v="0"/>
    <x v="54"/>
    <x v="52"/>
    <x v="35"/>
    <x v="35"/>
  </r>
  <r>
    <x v="0"/>
    <x v="0"/>
    <x v="36"/>
    <x v="95"/>
    <x v="49"/>
    <x v="49"/>
    <x v="16"/>
    <x v="9"/>
    <x v="0"/>
    <x v="31"/>
    <x v="31"/>
    <x v="60"/>
    <x v="60"/>
  </r>
  <r>
    <x v="0"/>
    <x v="0"/>
    <x v="36"/>
    <x v="95"/>
    <x v="8"/>
    <x v="6"/>
    <x v="2"/>
    <x v="3"/>
    <x v="0"/>
    <x v="35"/>
    <x v="36"/>
    <x v="28"/>
    <x v="28"/>
  </r>
  <r>
    <x v="0"/>
    <x v="0"/>
    <x v="37"/>
    <x v="118"/>
    <x v="17"/>
    <x v="18"/>
    <x v="1"/>
    <x v="0"/>
    <x v="56"/>
    <x v="58"/>
    <x v="47"/>
    <x v="71"/>
    <x v="71"/>
  </r>
  <r>
    <x v="0"/>
    <x v="0"/>
    <x v="37"/>
    <x v="118"/>
    <x v="0"/>
    <x v="0"/>
    <x v="0"/>
    <x v="0"/>
    <x v="7"/>
    <x v="3"/>
    <x v="3"/>
    <x v="9"/>
    <x v="9"/>
  </r>
  <r>
    <x v="1"/>
    <x v="1"/>
    <x v="38"/>
    <x v="1"/>
    <x v="133"/>
    <x v="131"/>
    <x v="67"/>
    <x v="2"/>
    <x v="4"/>
    <x v="159"/>
    <x v="129"/>
    <x v="168"/>
    <x v="168"/>
  </r>
  <r>
    <x v="0"/>
    <x v="0"/>
    <x v="39"/>
    <x v="130"/>
    <x v="25"/>
    <x v="24"/>
    <x v="2"/>
    <x v="0"/>
    <x v="44"/>
    <x v="59"/>
    <x v="52"/>
    <x v="58"/>
    <x v="58"/>
  </r>
  <r>
    <x v="0"/>
    <x v="0"/>
    <x v="40"/>
    <x v="132"/>
    <x v="51"/>
    <x v="51"/>
    <x v="4"/>
    <x v="0"/>
    <x v="7"/>
    <x v="10"/>
    <x v="11"/>
    <x v="51"/>
    <x v="51"/>
  </r>
  <r>
    <x v="0"/>
    <x v="0"/>
    <x v="40"/>
    <x v="132"/>
    <x v="155"/>
    <x v="157"/>
    <x v="54"/>
    <x v="0"/>
    <x v="13"/>
    <x v="91"/>
    <x v="92"/>
    <x v="186"/>
    <x v="186"/>
  </r>
  <r>
    <x v="0"/>
    <x v="0"/>
    <x v="40"/>
    <x v="132"/>
    <x v="137"/>
    <x v="139"/>
    <x v="65"/>
    <x v="0"/>
    <x v="10"/>
    <x v="85"/>
    <x v="86"/>
    <x v="166"/>
    <x v="166"/>
  </r>
  <r>
    <x v="0"/>
    <x v="0"/>
    <x v="41"/>
    <x v="99"/>
    <x v="220"/>
    <x v="212"/>
    <x v="159"/>
    <x v="0"/>
    <x v="18"/>
    <x v="112"/>
    <x v="102"/>
    <x v="249"/>
    <x v="249"/>
  </r>
  <r>
    <x v="0"/>
    <x v="0"/>
    <x v="41"/>
    <x v="99"/>
    <x v="118"/>
    <x v="121"/>
    <x v="17"/>
    <x v="0"/>
    <x v="21"/>
    <x v="22"/>
    <x v="22"/>
    <x v="146"/>
    <x v="146"/>
  </r>
  <r>
    <x v="0"/>
    <x v="0"/>
    <x v="41"/>
    <x v="99"/>
    <x v="213"/>
    <x v="211"/>
    <x v="134"/>
    <x v="0"/>
    <x v="24"/>
    <x v="74"/>
    <x v="79"/>
    <x v="243"/>
    <x v="243"/>
  </r>
  <r>
    <x v="0"/>
    <x v="0"/>
    <x v="42"/>
    <x v="82"/>
    <x v="164"/>
    <x v="162"/>
    <x v="112"/>
    <x v="9"/>
    <x v="7"/>
    <x v="128"/>
    <x v="115"/>
    <x v="194"/>
    <x v="194"/>
  </r>
  <r>
    <x v="0"/>
    <x v="0"/>
    <x v="42"/>
    <x v="82"/>
    <x v="181"/>
    <x v="182"/>
    <x v="93"/>
    <x v="18"/>
    <x v="5"/>
    <x v="116"/>
    <x v="112"/>
    <x v="210"/>
    <x v="210"/>
  </r>
  <r>
    <x v="0"/>
    <x v="0"/>
    <x v="42"/>
    <x v="82"/>
    <x v="169"/>
    <x v="169"/>
    <x v="111"/>
    <x v="5"/>
    <x v="8"/>
    <x v="116"/>
    <x v="116"/>
    <x v="200"/>
    <x v="200"/>
  </r>
  <r>
    <x v="1"/>
    <x v="1"/>
    <x v="43"/>
    <x v="26"/>
    <x v="81"/>
    <x v="82"/>
    <x v="16"/>
    <x v="1"/>
    <x v="7"/>
    <x v="60"/>
    <x v="59"/>
    <x v="101"/>
    <x v="101"/>
  </r>
  <r>
    <x v="1"/>
    <x v="1"/>
    <x v="43"/>
    <x v="26"/>
    <x v="152"/>
    <x v="153"/>
    <x v="57"/>
    <x v="7"/>
    <x v="12"/>
    <x v="81"/>
    <x v="74"/>
    <x v="183"/>
    <x v="183"/>
  </r>
  <r>
    <x v="0"/>
    <x v="0"/>
    <x v="44"/>
    <x v="78"/>
    <x v="171"/>
    <x v="172"/>
    <x v="121"/>
    <x v="0"/>
    <x v="67"/>
    <x v="130"/>
    <x v="117"/>
    <x v="209"/>
    <x v="209"/>
  </r>
  <r>
    <x v="0"/>
    <x v="0"/>
    <x v="44"/>
    <x v="78"/>
    <x v="182"/>
    <x v="183"/>
    <x v="75"/>
    <x v="0"/>
    <x v="62"/>
    <x v="112"/>
    <x v="110"/>
    <x v="213"/>
    <x v="213"/>
  </r>
  <r>
    <x v="0"/>
    <x v="0"/>
    <x v="44"/>
    <x v="78"/>
    <x v="172"/>
    <x v="171"/>
    <x v="118"/>
    <x v="0"/>
    <x v="63"/>
    <x v="105"/>
    <x v="106"/>
    <x v="208"/>
    <x v="208"/>
  </r>
  <r>
    <x v="0"/>
    <x v="0"/>
    <x v="45"/>
    <x v="81"/>
    <x v="2"/>
    <x v="2"/>
    <x v="0"/>
    <x v="0"/>
    <x v="65"/>
    <x v="88"/>
    <x v="79"/>
    <x v="109"/>
    <x v="109"/>
  </r>
  <r>
    <x v="0"/>
    <x v="0"/>
    <x v="45"/>
    <x v="81"/>
    <x v="23"/>
    <x v="24"/>
    <x v="1"/>
    <x v="0"/>
    <x v="61"/>
    <x v="80"/>
    <x v="78"/>
    <x v="96"/>
    <x v="96"/>
  </r>
  <r>
    <x v="0"/>
    <x v="0"/>
    <x v="45"/>
    <x v="81"/>
    <x v="2"/>
    <x v="1"/>
    <x v="0"/>
    <x v="0"/>
    <x v="64"/>
    <x v="75"/>
    <x v="80"/>
    <x v="104"/>
    <x v="104"/>
  </r>
  <r>
    <x v="0"/>
    <x v="0"/>
    <x v="46"/>
    <x v="117"/>
    <x v="136"/>
    <x v="142"/>
    <x v="47"/>
    <x v="0"/>
    <x v="32"/>
    <x v="56"/>
    <x v="60"/>
    <x v="167"/>
    <x v="167"/>
  </r>
  <r>
    <x v="0"/>
    <x v="0"/>
    <x v="46"/>
    <x v="117"/>
    <x v="10"/>
    <x v="11"/>
    <x v="0"/>
    <x v="0"/>
    <x v="17"/>
    <x v="2"/>
    <x v="1"/>
    <x v="19"/>
    <x v="19"/>
  </r>
  <r>
    <x v="1"/>
    <x v="1"/>
    <x v="47"/>
    <x v="38"/>
    <x v="79"/>
    <x v="77"/>
    <x v="40"/>
    <x v="0"/>
    <x v="12"/>
    <x v="145"/>
    <x v="52"/>
    <x v="113"/>
    <x v="113"/>
  </r>
  <r>
    <x v="1"/>
    <x v="1"/>
    <x v="29"/>
    <x v="47"/>
    <x v="40"/>
    <x v="39"/>
    <x v="7"/>
    <x v="0"/>
    <x v="12"/>
    <x v="128"/>
    <x v="44"/>
    <x v="68"/>
    <x v="68"/>
  </r>
  <r>
    <x v="0"/>
    <x v="0"/>
    <x v="48"/>
    <x v="135"/>
    <x v="232"/>
    <x v="231"/>
    <x v="164"/>
    <x v="0"/>
    <x v="44"/>
    <x v="164"/>
    <x v="144"/>
    <x v="263"/>
    <x v="263"/>
  </r>
  <r>
    <x v="0"/>
    <x v="0"/>
    <x v="48"/>
    <x v="135"/>
    <x v="225"/>
    <x v="225"/>
    <x v="115"/>
    <x v="0"/>
    <x v="38"/>
    <x v="161"/>
    <x v="142"/>
    <x v="256"/>
    <x v="256"/>
  </r>
  <r>
    <x v="0"/>
    <x v="0"/>
    <x v="48"/>
    <x v="135"/>
    <x v="233"/>
    <x v="232"/>
    <x v="158"/>
    <x v="0"/>
    <x v="45"/>
    <x v="156"/>
    <x v="138"/>
    <x v="264"/>
    <x v="264"/>
  </r>
  <r>
    <x v="0"/>
    <x v="0"/>
    <x v="49"/>
    <x v="136"/>
    <x v="59"/>
    <x v="57"/>
    <x v="9"/>
    <x v="0"/>
    <x v="0"/>
    <x v="143"/>
    <x v="129"/>
    <x v="85"/>
    <x v="85"/>
  </r>
  <r>
    <x v="0"/>
    <x v="0"/>
    <x v="49"/>
    <x v="136"/>
    <x v="175"/>
    <x v="179"/>
    <x v="84"/>
    <x v="0"/>
    <x v="0"/>
    <x v="124"/>
    <x v="120"/>
    <x v="204"/>
    <x v="204"/>
  </r>
  <r>
    <x v="0"/>
    <x v="0"/>
    <x v="49"/>
    <x v="136"/>
    <x v="30"/>
    <x v="28"/>
    <x v="16"/>
    <x v="0"/>
    <x v="0"/>
    <x v="137"/>
    <x v="127"/>
    <x v="59"/>
    <x v="59"/>
  </r>
  <r>
    <x v="0"/>
    <x v="0"/>
    <x v="50"/>
    <x v="133"/>
    <x v="183"/>
    <x v="181"/>
    <x v="138"/>
    <x v="49"/>
    <x v="58"/>
    <x v="138"/>
    <x v="123"/>
    <x v="214"/>
    <x v="214"/>
  </r>
  <r>
    <x v="0"/>
    <x v="0"/>
    <x v="50"/>
    <x v="133"/>
    <x v="209"/>
    <x v="214"/>
    <x v="149"/>
    <x v="52"/>
    <x v="55"/>
    <x v="115"/>
    <x v="104"/>
    <x v="237"/>
    <x v="237"/>
  </r>
  <r>
    <x v="0"/>
    <x v="0"/>
    <x v="50"/>
    <x v="133"/>
    <x v="185"/>
    <x v="187"/>
    <x v="132"/>
    <x v="50"/>
    <x v="58"/>
    <x v="132"/>
    <x v="125"/>
    <x v="222"/>
    <x v="222"/>
  </r>
  <r>
    <x v="1"/>
    <x v="1"/>
    <x v="51"/>
    <x v="28"/>
    <x v="26"/>
    <x v="30"/>
    <x v="2"/>
    <x v="0"/>
    <x v="7"/>
    <x v="12"/>
    <x v="15"/>
    <x v="25"/>
    <x v="25"/>
  </r>
  <r>
    <x v="1"/>
    <x v="1"/>
    <x v="52"/>
    <x v="52"/>
    <x v="50"/>
    <x v="47"/>
    <x v="22"/>
    <x v="0"/>
    <x v="0"/>
    <x v="127"/>
    <x v="30"/>
    <x v="76"/>
    <x v="76"/>
  </r>
  <r>
    <x v="0"/>
    <x v="0"/>
    <x v="53"/>
    <x v="137"/>
    <x v="71"/>
    <x v="72"/>
    <x v="25"/>
    <x v="0"/>
    <x v="46"/>
    <x v="96"/>
    <x v="100"/>
    <x v="102"/>
    <x v="102"/>
  </r>
  <r>
    <x v="0"/>
    <x v="0"/>
    <x v="53"/>
    <x v="137"/>
    <x v="90"/>
    <x v="88"/>
    <x v="47"/>
    <x v="0"/>
    <x v="47"/>
    <x v="83"/>
    <x v="87"/>
    <x v="123"/>
    <x v="123"/>
  </r>
  <r>
    <x v="0"/>
    <x v="0"/>
    <x v="54"/>
    <x v="104"/>
    <x v="32"/>
    <x v="32"/>
    <x v="8"/>
    <x v="3"/>
    <x v="16"/>
    <x v="58"/>
    <x v="54"/>
    <x v="52"/>
    <x v="52"/>
  </r>
  <r>
    <x v="0"/>
    <x v="0"/>
    <x v="54"/>
    <x v="104"/>
    <x v="0"/>
    <x v="0"/>
    <x v="0"/>
    <x v="0"/>
    <x v="7"/>
    <x v="1"/>
    <x v="1"/>
    <x v="7"/>
    <x v="7"/>
  </r>
  <r>
    <x v="0"/>
    <x v="0"/>
    <x v="55"/>
    <x v="106"/>
    <x v="168"/>
    <x v="166"/>
    <x v="127"/>
    <x v="0"/>
    <x v="13"/>
    <x v="118"/>
    <x v="107"/>
    <x v="199"/>
    <x v="199"/>
  </r>
  <r>
    <x v="0"/>
    <x v="0"/>
    <x v="55"/>
    <x v="106"/>
    <x v="62"/>
    <x v="63"/>
    <x v="3"/>
    <x v="0"/>
    <x v="10"/>
    <x v="17"/>
    <x v="18"/>
    <x v="74"/>
    <x v="74"/>
  </r>
  <r>
    <x v="0"/>
    <x v="0"/>
    <x v="55"/>
    <x v="106"/>
    <x v="165"/>
    <x v="165"/>
    <x v="102"/>
    <x v="0"/>
    <x v="13"/>
    <x v="88"/>
    <x v="87"/>
    <x v="196"/>
    <x v="196"/>
  </r>
  <r>
    <x v="0"/>
    <x v="0"/>
    <x v="56"/>
    <x v="114"/>
    <x v="14"/>
    <x v="15"/>
    <x v="0"/>
    <x v="0"/>
    <x v="30"/>
    <x v="39"/>
    <x v="39"/>
    <x v="46"/>
    <x v="46"/>
  </r>
  <r>
    <x v="0"/>
    <x v="0"/>
    <x v="56"/>
    <x v="114"/>
    <x v="0"/>
    <x v="0"/>
    <x v="0"/>
    <x v="0"/>
    <x v="6"/>
    <x v="2"/>
    <x v="2"/>
    <x v="6"/>
    <x v="6"/>
  </r>
  <r>
    <x v="1"/>
    <x v="1"/>
    <x v="57"/>
    <x v="31"/>
    <x v="73"/>
    <x v="71"/>
    <x v="28"/>
    <x v="3"/>
    <x v="12"/>
    <x v="114"/>
    <x v="69"/>
    <x v="95"/>
    <x v="95"/>
  </r>
  <r>
    <x v="0"/>
    <x v="0"/>
    <x v="58"/>
    <x v="109"/>
    <x v="59"/>
    <x v="60"/>
    <x v="4"/>
    <x v="0"/>
    <x v="25"/>
    <x v="119"/>
    <x v="118"/>
    <x v="86"/>
    <x v="86"/>
  </r>
  <r>
    <x v="0"/>
    <x v="0"/>
    <x v="58"/>
    <x v="109"/>
    <x v="4"/>
    <x v="4"/>
    <x v="0"/>
    <x v="0"/>
    <x v="4"/>
    <x v="6"/>
    <x v="6"/>
    <x v="15"/>
    <x v="15"/>
  </r>
  <r>
    <x v="1"/>
    <x v="1"/>
    <x v="59"/>
    <x v="4"/>
    <x v="188"/>
    <x v="184"/>
    <x v="131"/>
    <x v="46"/>
    <x v="4"/>
    <x v="155"/>
    <x v="94"/>
    <x v="217"/>
    <x v="217"/>
  </r>
  <r>
    <x v="1"/>
    <x v="1"/>
    <x v="59"/>
    <x v="4"/>
    <x v="174"/>
    <x v="173"/>
    <x v="122"/>
    <x v="42"/>
    <x v="9"/>
    <x v="138"/>
    <x v="102"/>
    <x v="203"/>
    <x v="203"/>
  </r>
  <r>
    <x v="1"/>
    <x v="1"/>
    <x v="59"/>
    <x v="4"/>
    <x v="144"/>
    <x v="145"/>
    <x v="88"/>
    <x v="48"/>
    <x v="9"/>
    <x v="65"/>
    <x v="58"/>
    <x v="171"/>
    <x v="171"/>
  </r>
  <r>
    <x v="1"/>
    <x v="1"/>
    <x v="60"/>
    <x v="2"/>
    <x v="145"/>
    <x v="141"/>
    <x v="86"/>
    <x v="41"/>
    <x v="7"/>
    <x v="101"/>
    <x v="85"/>
    <x v="175"/>
    <x v="175"/>
  </r>
  <r>
    <x v="1"/>
    <x v="1"/>
    <x v="60"/>
    <x v="2"/>
    <x v="141"/>
    <x v="135"/>
    <x v="101"/>
    <x v="47"/>
    <x v="20"/>
    <x v="132"/>
    <x v="107"/>
    <x v="172"/>
    <x v="172"/>
  </r>
  <r>
    <x v="1"/>
    <x v="1"/>
    <x v="60"/>
    <x v="2"/>
    <x v="66"/>
    <x v="68"/>
    <x v="29"/>
    <x v="25"/>
    <x v="16"/>
    <x v="44"/>
    <x v="41"/>
    <x v="82"/>
    <x v="82"/>
  </r>
  <r>
    <x v="1"/>
    <x v="1"/>
    <x v="61"/>
    <x v="24"/>
    <x v="110"/>
    <x v="110"/>
    <x v="21"/>
    <x v="0"/>
    <x v="0"/>
    <x v="72"/>
    <x v="51"/>
    <x v="138"/>
    <x v="138"/>
  </r>
  <r>
    <x v="1"/>
    <x v="1"/>
    <x v="61"/>
    <x v="24"/>
    <x v="108"/>
    <x v="109"/>
    <x v="35"/>
    <x v="0"/>
    <x v="0"/>
    <x v="82"/>
    <x v="68"/>
    <x v="135"/>
    <x v="135"/>
  </r>
  <r>
    <x v="1"/>
    <x v="1"/>
    <x v="62"/>
    <x v="6"/>
    <x v="160"/>
    <x v="159"/>
    <x v="100"/>
    <x v="0"/>
    <x v="12"/>
    <x v="117"/>
    <x v="88"/>
    <x v="191"/>
    <x v="191"/>
  </r>
  <r>
    <x v="1"/>
    <x v="1"/>
    <x v="62"/>
    <x v="6"/>
    <x v="156"/>
    <x v="156"/>
    <x v="94"/>
    <x v="0"/>
    <x v="12"/>
    <x v="107"/>
    <x v="90"/>
    <x v="187"/>
    <x v="187"/>
  </r>
  <r>
    <x v="1"/>
    <x v="1"/>
    <x v="62"/>
    <x v="6"/>
    <x v="67"/>
    <x v="69"/>
    <x v="9"/>
    <x v="0"/>
    <x v="12"/>
    <x v="24"/>
    <x v="22"/>
    <x v="79"/>
    <x v="79"/>
  </r>
  <r>
    <x v="1"/>
    <x v="1"/>
    <x v="63"/>
    <x v="7"/>
    <x v="170"/>
    <x v="170"/>
    <x v="114"/>
    <x v="0"/>
    <x v="12"/>
    <x v="121"/>
    <x v="53"/>
    <x v="201"/>
    <x v="201"/>
  </r>
  <r>
    <x v="1"/>
    <x v="1"/>
    <x v="63"/>
    <x v="7"/>
    <x v="167"/>
    <x v="167"/>
    <x v="106"/>
    <x v="0"/>
    <x v="7"/>
    <x v="127"/>
    <x v="91"/>
    <x v="198"/>
    <x v="198"/>
  </r>
  <r>
    <x v="1"/>
    <x v="1"/>
    <x v="63"/>
    <x v="7"/>
    <x v="76"/>
    <x v="76"/>
    <x v="9"/>
    <x v="0"/>
    <x v="12"/>
    <x v="25"/>
    <x v="21"/>
    <x v="91"/>
    <x v="91"/>
  </r>
  <r>
    <x v="1"/>
    <x v="1"/>
    <x v="64"/>
    <x v="5"/>
    <x v="80"/>
    <x v="79"/>
    <x v="38"/>
    <x v="3"/>
    <x v="2"/>
    <x v="116"/>
    <x v="98"/>
    <x v="107"/>
    <x v="107"/>
  </r>
  <r>
    <x v="0"/>
    <x v="0"/>
    <x v="65"/>
    <x v="140"/>
    <x v="28"/>
    <x v="27"/>
    <x v="2"/>
    <x v="0"/>
    <x v="0"/>
    <x v="7"/>
    <x v="8"/>
    <x v="21"/>
    <x v="21"/>
  </r>
  <r>
    <x v="0"/>
    <x v="0"/>
    <x v="66"/>
    <x v="141"/>
    <x v="29"/>
    <x v="27"/>
    <x v="3"/>
    <x v="0"/>
    <x v="0"/>
    <x v="7"/>
    <x v="8"/>
    <x v="22"/>
    <x v="22"/>
  </r>
  <r>
    <x v="0"/>
    <x v="0"/>
    <x v="67"/>
    <x v="138"/>
    <x v="0"/>
    <x v="0"/>
    <x v="0"/>
    <x v="0"/>
    <x v="0"/>
    <x v="7"/>
    <x v="7"/>
    <x v="11"/>
    <x v="11"/>
  </r>
  <r>
    <x v="0"/>
    <x v="0"/>
    <x v="68"/>
    <x v="115"/>
    <x v="0"/>
    <x v="0"/>
    <x v="0"/>
    <x v="0"/>
    <x v="0"/>
    <x v="2"/>
    <x v="0"/>
    <x v="0"/>
    <x v="0"/>
  </r>
  <r>
    <x v="0"/>
    <x v="0"/>
    <x v="69"/>
    <x v="102"/>
    <x v="202"/>
    <x v="199"/>
    <x v="148"/>
    <x v="0"/>
    <x v="10"/>
    <x v="120"/>
    <x v="115"/>
    <x v="234"/>
    <x v="234"/>
  </r>
  <r>
    <x v="0"/>
    <x v="0"/>
    <x v="69"/>
    <x v="102"/>
    <x v="162"/>
    <x v="164"/>
    <x v="73"/>
    <x v="0"/>
    <x v="10"/>
    <x v="81"/>
    <x v="81"/>
    <x v="193"/>
    <x v="193"/>
  </r>
  <r>
    <x v="0"/>
    <x v="0"/>
    <x v="69"/>
    <x v="102"/>
    <x v="199"/>
    <x v="197"/>
    <x v="141"/>
    <x v="0"/>
    <x v="12"/>
    <x v="112"/>
    <x v="113"/>
    <x v="230"/>
    <x v="230"/>
  </r>
  <r>
    <x v="0"/>
    <x v="0"/>
    <x v="70"/>
    <x v="68"/>
    <x v="231"/>
    <x v="229"/>
    <x v="162"/>
    <x v="1"/>
    <x v="22"/>
    <x v="98"/>
    <x v="94"/>
    <x v="262"/>
    <x v="262"/>
  </r>
  <r>
    <x v="0"/>
    <x v="0"/>
    <x v="70"/>
    <x v="68"/>
    <x v="223"/>
    <x v="224"/>
    <x v="113"/>
    <x v="13"/>
    <x v="22"/>
    <x v="67"/>
    <x v="69"/>
    <x v="254"/>
    <x v="254"/>
  </r>
  <r>
    <x v="0"/>
    <x v="0"/>
    <x v="70"/>
    <x v="68"/>
    <x v="230"/>
    <x v="230"/>
    <x v="153"/>
    <x v="1"/>
    <x v="22"/>
    <x v="97"/>
    <x v="99"/>
    <x v="261"/>
    <x v="261"/>
  </r>
  <r>
    <x v="0"/>
    <x v="0"/>
    <x v="71"/>
    <x v="74"/>
    <x v="6"/>
    <x v="5"/>
    <x v="0"/>
    <x v="0"/>
    <x v="0"/>
    <x v="67"/>
    <x v="67"/>
    <x v="36"/>
    <x v="36"/>
  </r>
  <r>
    <x v="0"/>
    <x v="0"/>
    <x v="71"/>
    <x v="74"/>
    <x v="22"/>
    <x v="23"/>
    <x v="2"/>
    <x v="0"/>
    <x v="0"/>
    <x v="42"/>
    <x v="43"/>
    <x v="37"/>
    <x v="37"/>
  </r>
  <r>
    <x v="0"/>
    <x v="0"/>
    <x v="71"/>
    <x v="74"/>
    <x v="4"/>
    <x v="4"/>
    <x v="0"/>
    <x v="0"/>
    <x v="0"/>
    <x v="58"/>
    <x v="66"/>
    <x v="31"/>
    <x v="31"/>
  </r>
  <r>
    <x v="0"/>
    <x v="0"/>
    <x v="72"/>
    <x v="66"/>
    <x v="45"/>
    <x v="45"/>
    <x v="8"/>
    <x v="15"/>
    <x v="16"/>
    <x v="62"/>
    <x v="57"/>
    <x v="67"/>
    <x v="67"/>
  </r>
  <r>
    <x v="1"/>
    <x v="1"/>
    <x v="73"/>
    <x v="51"/>
    <x v="44"/>
    <x v="43"/>
    <x v="10"/>
    <x v="0"/>
    <x v="1"/>
    <x v="43"/>
    <x v="39"/>
    <x v="54"/>
    <x v="54"/>
  </r>
  <r>
    <x v="1"/>
    <x v="1"/>
    <x v="74"/>
    <x v="18"/>
    <x v="46"/>
    <x v="46"/>
    <x v="4"/>
    <x v="0"/>
    <x v="3"/>
    <x v="40"/>
    <x v="38"/>
    <x v="56"/>
    <x v="56"/>
  </r>
  <r>
    <x v="1"/>
    <x v="1"/>
    <x v="74"/>
    <x v="18"/>
    <x v="0"/>
    <x v="0"/>
    <x v="0"/>
    <x v="0"/>
    <x v="1"/>
    <x v="0"/>
    <x v="0"/>
    <x v="0"/>
    <x v="0"/>
  </r>
  <r>
    <x v="1"/>
    <x v="1"/>
    <x v="75"/>
    <x v="19"/>
    <x v="97"/>
    <x v="98"/>
    <x v="24"/>
    <x v="0"/>
    <x v="7"/>
    <x v="69"/>
    <x v="77"/>
    <x v="124"/>
    <x v="124"/>
  </r>
  <r>
    <x v="1"/>
    <x v="1"/>
    <x v="76"/>
    <x v="25"/>
    <x v="78"/>
    <x v="78"/>
    <x v="50"/>
    <x v="37"/>
    <x v="12"/>
    <x v="144"/>
    <x v="133"/>
    <x v="106"/>
    <x v="106"/>
  </r>
  <r>
    <x v="1"/>
    <x v="1"/>
    <x v="77"/>
    <x v="17"/>
    <x v="119"/>
    <x v="120"/>
    <x v="41"/>
    <x v="0"/>
    <x v="10"/>
    <x v="35"/>
    <x v="30"/>
    <x v="148"/>
    <x v="148"/>
  </r>
  <r>
    <x v="1"/>
    <x v="1"/>
    <x v="77"/>
    <x v="17"/>
    <x v="146"/>
    <x v="146"/>
    <x v="64"/>
    <x v="0"/>
    <x v="7"/>
    <x v="38"/>
    <x v="32"/>
    <x v="170"/>
    <x v="170"/>
  </r>
  <r>
    <x v="1"/>
    <x v="1"/>
    <x v="78"/>
    <x v="36"/>
    <x v="43"/>
    <x v="42"/>
    <x v="9"/>
    <x v="5"/>
    <x v="20"/>
    <x v="68"/>
    <x v="57"/>
    <x v="62"/>
    <x v="62"/>
  </r>
  <r>
    <x v="0"/>
    <x v="0"/>
    <x v="79"/>
    <x v="70"/>
    <x v="238"/>
    <x v="237"/>
    <x v="168"/>
    <x v="0"/>
    <x v="0"/>
    <x v="0"/>
    <x v="0"/>
    <x v="269"/>
    <x v="269"/>
  </r>
  <r>
    <x v="0"/>
    <x v="0"/>
    <x v="79"/>
    <x v="70"/>
    <x v="234"/>
    <x v="233"/>
    <x v="124"/>
    <x v="0"/>
    <x v="0"/>
    <x v="0"/>
    <x v="0"/>
    <x v="265"/>
    <x v="265"/>
  </r>
  <r>
    <x v="0"/>
    <x v="0"/>
    <x v="79"/>
    <x v="70"/>
    <x v="242"/>
    <x v="240"/>
    <x v="165"/>
    <x v="0"/>
    <x v="0"/>
    <x v="0"/>
    <x v="0"/>
    <x v="273"/>
    <x v="273"/>
  </r>
  <r>
    <x v="0"/>
    <x v="0"/>
    <x v="80"/>
    <x v="73"/>
    <x v="240"/>
    <x v="238"/>
    <x v="170"/>
    <x v="0"/>
    <x v="0"/>
    <x v="0"/>
    <x v="0"/>
    <x v="271"/>
    <x v="271"/>
  </r>
  <r>
    <x v="0"/>
    <x v="0"/>
    <x v="80"/>
    <x v="73"/>
    <x v="236"/>
    <x v="235"/>
    <x v="123"/>
    <x v="0"/>
    <x v="0"/>
    <x v="0"/>
    <x v="0"/>
    <x v="267"/>
    <x v="267"/>
  </r>
  <r>
    <x v="0"/>
    <x v="0"/>
    <x v="80"/>
    <x v="73"/>
    <x v="243"/>
    <x v="241"/>
    <x v="167"/>
    <x v="0"/>
    <x v="0"/>
    <x v="0"/>
    <x v="0"/>
    <x v="274"/>
    <x v="274"/>
  </r>
  <r>
    <x v="1"/>
    <x v="1"/>
    <x v="81"/>
    <x v="27"/>
    <x v="101"/>
    <x v="100"/>
    <x v="44"/>
    <x v="0"/>
    <x v="5"/>
    <x v="157"/>
    <x v="139"/>
    <x v="134"/>
    <x v="134"/>
  </r>
  <r>
    <x v="1"/>
    <x v="1"/>
    <x v="81"/>
    <x v="27"/>
    <x v="121"/>
    <x v="122"/>
    <x v="53"/>
    <x v="0"/>
    <x v="5"/>
    <x v="163"/>
    <x v="143"/>
    <x v="153"/>
    <x v="153"/>
  </r>
  <r>
    <x v="0"/>
    <x v="0"/>
    <x v="82"/>
    <x v="71"/>
    <x v="239"/>
    <x v="237"/>
    <x v="169"/>
    <x v="0"/>
    <x v="0"/>
    <x v="0"/>
    <x v="0"/>
    <x v="270"/>
    <x v="270"/>
  </r>
  <r>
    <x v="0"/>
    <x v="0"/>
    <x v="82"/>
    <x v="71"/>
    <x v="234"/>
    <x v="233"/>
    <x v="124"/>
    <x v="0"/>
    <x v="0"/>
    <x v="0"/>
    <x v="0"/>
    <x v="265"/>
    <x v="265"/>
  </r>
  <r>
    <x v="0"/>
    <x v="0"/>
    <x v="82"/>
    <x v="71"/>
    <x v="241"/>
    <x v="239"/>
    <x v="166"/>
    <x v="0"/>
    <x v="0"/>
    <x v="0"/>
    <x v="0"/>
    <x v="272"/>
    <x v="272"/>
  </r>
  <r>
    <x v="0"/>
    <x v="0"/>
    <x v="83"/>
    <x v="63"/>
    <x v="106"/>
    <x v="106"/>
    <x v="64"/>
    <x v="29"/>
    <x v="37"/>
    <x v="108"/>
    <x v="101"/>
    <x v="140"/>
    <x v="140"/>
  </r>
  <r>
    <x v="0"/>
    <x v="0"/>
    <x v="84"/>
    <x v="126"/>
    <x v="86"/>
    <x v="80"/>
    <x v="62"/>
    <x v="30"/>
    <x v="20"/>
    <x v="59"/>
    <x v="65"/>
    <x v="114"/>
    <x v="114"/>
  </r>
  <r>
    <x v="0"/>
    <x v="0"/>
    <x v="85"/>
    <x v="64"/>
    <x v="82"/>
    <x v="83"/>
    <x v="42"/>
    <x v="14"/>
    <x v="32"/>
    <x v="112"/>
    <x v="96"/>
    <x v="117"/>
    <x v="117"/>
  </r>
  <r>
    <x v="0"/>
    <x v="0"/>
    <x v="86"/>
    <x v="65"/>
    <x v="84"/>
    <x v="84"/>
    <x v="61"/>
    <x v="35"/>
    <x v="22"/>
    <x v="105"/>
    <x v="89"/>
    <x v="115"/>
    <x v="115"/>
  </r>
  <r>
    <x v="1"/>
    <x v="1"/>
    <x v="87"/>
    <x v="49"/>
    <x v="122"/>
    <x v="123"/>
    <x v="55"/>
    <x v="4"/>
    <x v="20"/>
    <x v="166"/>
    <x v="94"/>
    <x v="156"/>
    <x v="156"/>
  </r>
  <r>
    <x v="1"/>
    <x v="1"/>
    <x v="88"/>
    <x v="3"/>
    <x v="147"/>
    <x v="148"/>
    <x v="30"/>
    <x v="0"/>
    <x v="20"/>
    <x v="75"/>
    <x v="47"/>
    <x v="177"/>
    <x v="177"/>
  </r>
  <r>
    <x v="0"/>
    <x v="0"/>
    <x v="89"/>
    <x v="100"/>
    <x v="179"/>
    <x v="177"/>
    <x v="129"/>
    <x v="0"/>
    <x v="26"/>
    <x v="153"/>
    <x v="131"/>
    <x v="211"/>
    <x v="211"/>
  </r>
  <r>
    <x v="0"/>
    <x v="0"/>
    <x v="89"/>
    <x v="100"/>
    <x v="93"/>
    <x v="94"/>
    <x v="19"/>
    <x v="0"/>
    <x v="26"/>
    <x v="86"/>
    <x v="82"/>
    <x v="122"/>
    <x v="122"/>
  </r>
  <r>
    <x v="0"/>
    <x v="0"/>
    <x v="89"/>
    <x v="100"/>
    <x v="176"/>
    <x v="174"/>
    <x v="117"/>
    <x v="0"/>
    <x v="30"/>
    <x v="115"/>
    <x v="115"/>
    <x v="205"/>
    <x v="205"/>
  </r>
  <r>
    <x v="0"/>
    <x v="0"/>
    <x v="90"/>
    <x v="77"/>
    <x v="205"/>
    <x v="202"/>
    <x v="151"/>
    <x v="0"/>
    <x v="67"/>
    <x v="129"/>
    <x v="116"/>
    <x v="239"/>
    <x v="239"/>
  </r>
  <r>
    <x v="0"/>
    <x v="0"/>
    <x v="90"/>
    <x v="77"/>
    <x v="218"/>
    <x v="221"/>
    <x v="96"/>
    <x v="0"/>
    <x v="62"/>
    <x v="112"/>
    <x v="110"/>
    <x v="252"/>
    <x v="252"/>
  </r>
  <r>
    <x v="0"/>
    <x v="0"/>
    <x v="90"/>
    <x v="77"/>
    <x v="208"/>
    <x v="208"/>
    <x v="142"/>
    <x v="0"/>
    <x v="63"/>
    <x v="106"/>
    <x v="107"/>
    <x v="244"/>
    <x v="244"/>
  </r>
  <r>
    <x v="0"/>
    <x v="0"/>
    <x v="91"/>
    <x v="80"/>
    <x v="3"/>
    <x v="3"/>
    <x v="0"/>
    <x v="0"/>
    <x v="66"/>
    <x v="91"/>
    <x v="82"/>
    <x v="111"/>
    <x v="111"/>
  </r>
  <r>
    <x v="0"/>
    <x v="0"/>
    <x v="91"/>
    <x v="80"/>
    <x v="24"/>
    <x v="25"/>
    <x v="1"/>
    <x v="0"/>
    <x v="61"/>
    <x v="80"/>
    <x v="78"/>
    <x v="97"/>
    <x v="97"/>
  </r>
  <r>
    <x v="0"/>
    <x v="0"/>
    <x v="91"/>
    <x v="80"/>
    <x v="2"/>
    <x v="1"/>
    <x v="0"/>
    <x v="0"/>
    <x v="64"/>
    <x v="75"/>
    <x v="80"/>
    <x v="104"/>
    <x v="104"/>
  </r>
  <r>
    <x v="0"/>
    <x v="0"/>
    <x v="92"/>
    <x v="93"/>
    <x v="154"/>
    <x v="154"/>
    <x v="79"/>
    <x v="1"/>
    <x v="7"/>
    <x v="100"/>
    <x v="88"/>
    <x v="185"/>
    <x v="185"/>
  </r>
  <r>
    <x v="0"/>
    <x v="0"/>
    <x v="92"/>
    <x v="93"/>
    <x v="201"/>
    <x v="203"/>
    <x v="120"/>
    <x v="28"/>
    <x v="8"/>
    <x v="103"/>
    <x v="97"/>
    <x v="232"/>
    <x v="232"/>
  </r>
  <r>
    <x v="0"/>
    <x v="0"/>
    <x v="92"/>
    <x v="93"/>
    <x v="166"/>
    <x v="168"/>
    <x v="110"/>
    <x v="7"/>
    <x v="8"/>
    <x v="111"/>
    <x v="111"/>
    <x v="197"/>
    <x v="197"/>
  </r>
  <r>
    <x v="1"/>
    <x v="1"/>
    <x v="93"/>
    <x v="41"/>
    <x v="72"/>
    <x v="70"/>
    <x v="23"/>
    <x v="0"/>
    <x v="0"/>
    <x v="161"/>
    <x v="73"/>
    <x v="99"/>
    <x v="99"/>
  </r>
  <r>
    <x v="0"/>
    <x v="0"/>
    <x v="94"/>
    <x v="92"/>
    <x v="138"/>
    <x v="134"/>
    <x v="82"/>
    <x v="13"/>
    <x v="52"/>
    <x v="81"/>
    <x v="67"/>
    <x v="173"/>
    <x v="173"/>
  </r>
  <r>
    <x v="0"/>
    <x v="0"/>
    <x v="94"/>
    <x v="92"/>
    <x v="177"/>
    <x v="178"/>
    <x v="105"/>
    <x v="39"/>
    <x v="59"/>
    <x v="64"/>
    <x v="69"/>
    <x v="207"/>
    <x v="207"/>
  </r>
  <r>
    <x v="0"/>
    <x v="0"/>
    <x v="94"/>
    <x v="92"/>
    <x v="148"/>
    <x v="147"/>
    <x v="77"/>
    <x v="16"/>
    <x v="57"/>
    <x v="99"/>
    <x v="99"/>
    <x v="179"/>
    <x v="179"/>
  </r>
  <r>
    <x v="0"/>
    <x v="0"/>
    <x v="95"/>
    <x v="72"/>
    <x v="237"/>
    <x v="236"/>
    <x v="169"/>
    <x v="0"/>
    <x v="0"/>
    <x v="0"/>
    <x v="0"/>
    <x v="268"/>
    <x v="268"/>
  </r>
  <r>
    <x v="0"/>
    <x v="0"/>
    <x v="95"/>
    <x v="72"/>
    <x v="235"/>
    <x v="234"/>
    <x v="124"/>
    <x v="0"/>
    <x v="0"/>
    <x v="0"/>
    <x v="0"/>
    <x v="266"/>
    <x v="266"/>
  </r>
  <r>
    <x v="0"/>
    <x v="0"/>
    <x v="95"/>
    <x v="72"/>
    <x v="241"/>
    <x v="239"/>
    <x v="166"/>
    <x v="0"/>
    <x v="0"/>
    <x v="0"/>
    <x v="0"/>
    <x v="272"/>
    <x v="272"/>
  </r>
  <r>
    <x v="0"/>
    <x v="0"/>
    <x v="96"/>
    <x v="134"/>
    <x v="38"/>
    <x v="40"/>
    <x v="2"/>
    <x v="0"/>
    <x v="47"/>
    <x v="64"/>
    <x v="55"/>
    <x v="73"/>
    <x v="73"/>
  </r>
  <r>
    <x v="0"/>
    <x v="0"/>
    <x v="96"/>
    <x v="134"/>
    <x v="1"/>
    <x v="1"/>
    <x v="0"/>
    <x v="0"/>
    <x v="3"/>
    <x v="3"/>
    <x v="3"/>
    <x v="4"/>
    <x v="4"/>
  </r>
  <r>
    <x v="0"/>
    <x v="0"/>
    <x v="97"/>
    <x v="69"/>
    <x v="151"/>
    <x v="151"/>
    <x v="98"/>
    <x v="0"/>
    <x v="16"/>
    <x v="89"/>
    <x v="83"/>
    <x v="182"/>
    <x v="182"/>
  </r>
  <r>
    <x v="0"/>
    <x v="0"/>
    <x v="97"/>
    <x v="69"/>
    <x v="111"/>
    <x v="111"/>
    <x v="39"/>
    <x v="0"/>
    <x v="19"/>
    <x v="61"/>
    <x v="63"/>
    <x v="141"/>
    <x v="141"/>
  </r>
  <r>
    <x v="0"/>
    <x v="0"/>
    <x v="97"/>
    <x v="69"/>
    <x v="150"/>
    <x v="150"/>
    <x v="83"/>
    <x v="0"/>
    <x v="16"/>
    <x v="72"/>
    <x v="76"/>
    <x v="181"/>
    <x v="181"/>
  </r>
  <r>
    <x v="0"/>
    <x v="0"/>
    <x v="98"/>
    <x v="75"/>
    <x v="0"/>
    <x v="0"/>
    <x v="0"/>
    <x v="0"/>
    <x v="16"/>
    <x v="59"/>
    <x v="59"/>
    <x v="41"/>
    <x v="41"/>
  </r>
  <r>
    <x v="0"/>
    <x v="0"/>
    <x v="98"/>
    <x v="75"/>
    <x v="10"/>
    <x v="11"/>
    <x v="0"/>
    <x v="0"/>
    <x v="19"/>
    <x v="29"/>
    <x v="27"/>
    <x v="34"/>
    <x v="34"/>
  </r>
  <r>
    <x v="0"/>
    <x v="0"/>
    <x v="98"/>
    <x v="75"/>
    <x v="0"/>
    <x v="0"/>
    <x v="0"/>
    <x v="0"/>
    <x v="16"/>
    <x v="46"/>
    <x v="49"/>
    <x v="37"/>
    <x v="37"/>
  </r>
  <r>
    <x v="0"/>
    <x v="0"/>
    <x v="99"/>
    <x v="108"/>
    <x v="91"/>
    <x v="91"/>
    <x v="26"/>
    <x v="0"/>
    <x v="35"/>
    <x v="70"/>
    <x v="72"/>
    <x v="120"/>
    <x v="120"/>
  </r>
  <r>
    <x v="0"/>
    <x v="0"/>
    <x v="99"/>
    <x v="108"/>
    <x v="10"/>
    <x v="11"/>
    <x v="0"/>
    <x v="0"/>
    <x v="6"/>
    <x v="2"/>
    <x v="2"/>
    <x v="14"/>
    <x v="14"/>
  </r>
  <r>
    <x v="0"/>
    <x v="0"/>
    <x v="100"/>
    <x v="105"/>
    <x v="63"/>
    <x v="61"/>
    <x v="17"/>
    <x v="16"/>
    <x v="32"/>
    <x v="42"/>
    <x v="35"/>
    <x v="83"/>
    <x v="83"/>
  </r>
  <r>
    <x v="0"/>
    <x v="0"/>
    <x v="100"/>
    <x v="105"/>
    <x v="157"/>
    <x v="161"/>
    <x v="81"/>
    <x v="44"/>
    <x v="32"/>
    <x v="31"/>
    <x v="29"/>
    <x v="188"/>
    <x v="188"/>
  </r>
  <r>
    <x v="0"/>
    <x v="0"/>
    <x v="100"/>
    <x v="105"/>
    <x v="0"/>
    <x v="0"/>
    <x v="0"/>
    <x v="0"/>
    <x v="0"/>
    <x v="3"/>
    <x v="0"/>
    <x v="1"/>
    <x v="1"/>
  </r>
  <r>
    <x v="1"/>
    <x v="1"/>
    <x v="101"/>
    <x v="39"/>
    <x v="1"/>
    <x v="1"/>
    <x v="0"/>
    <x v="0"/>
    <x v="7"/>
    <x v="9"/>
    <x v="10"/>
    <x v="20"/>
    <x v="20"/>
  </r>
  <r>
    <x v="1"/>
    <x v="1"/>
    <x v="102"/>
    <x v="16"/>
    <x v="58"/>
    <x v="55"/>
    <x v="43"/>
    <x v="30"/>
    <x v="16"/>
    <x v="123"/>
    <x v="67"/>
    <x v="84"/>
    <x v="84"/>
  </r>
  <r>
    <x v="1"/>
    <x v="1"/>
    <x v="102"/>
    <x v="16"/>
    <x v="107"/>
    <x v="108"/>
    <x v="64"/>
    <x v="43"/>
    <x v="29"/>
    <x v="136"/>
    <x v="111"/>
    <x v="142"/>
    <x v="142"/>
  </r>
  <r>
    <x v="0"/>
    <x v="0"/>
    <x v="103"/>
    <x v="76"/>
    <x v="204"/>
    <x v="200"/>
    <x v="150"/>
    <x v="0"/>
    <x v="68"/>
    <x v="131"/>
    <x v="116"/>
    <x v="236"/>
    <x v="236"/>
  </r>
  <r>
    <x v="0"/>
    <x v="0"/>
    <x v="103"/>
    <x v="76"/>
    <x v="217"/>
    <x v="219"/>
    <x v="95"/>
    <x v="0"/>
    <x v="62"/>
    <x v="111"/>
    <x v="109"/>
    <x v="250"/>
    <x v="250"/>
  </r>
  <r>
    <x v="0"/>
    <x v="0"/>
    <x v="103"/>
    <x v="76"/>
    <x v="206"/>
    <x v="206"/>
    <x v="139"/>
    <x v="0"/>
    <x v="63"/>
    <x v="106"/>
    <x v="107"/>
    <x v="238"/>
    <x v="238"/>
  </r>
  <r>
    <x v="0"/>
    <x v="0"/>
    <x v="104"/>
    <x v="79"/>
    <x v="8"/>
    <x v="9"/>
    <x v="0"/>
    <x v="0"/>
    <x v="65"/>
    <x v="88"/>
    <x v="79"/>
    <x v="110"/>
    <x v="110"/>
  </r>
  <r>
    <x v="0"/>
    <x v="0"/>
    <x v="104"/>
    <x v="79"/>
    <x v="36"/>
    <x v="36"/>
    <x v="1"/>
    <x v="0"/>
    <x v="61"/>
    <x v="80"/>
    <x v="78"/>
    <x v="103"/>
    <x v="103"/>
  </r>
  <r>
    <x v="0"/>
    <x v="0"/>
    <x v="104"/>
    <x v="79"/>
    <x v="5"/>
    <x v="4"/>
    <x v="0"/>
    <x v="0"/>
    <x v="64"/>
    <x v="75"/>
    <x v="80"/>
    <x v="105"/>
    <x v="105"/>
  </r>
  <r>
    <x v="0"/>
    <x v="0"/>
    <x v="105"/>
    <x v="107"/>
    <x v="135"/>
    <x v="143"/>
    <x v="34"/>
    <x v="0"/>
    <x v="39"/>
    <x v="47"/>
    <x v="50"/>
    <x v="165"/>
    <x v="165"/>
  </r>
  <r>
    <x v="0"/>
    <x v="0"/>
    <x v="105"/>
    <x v="107"/>
    <x v="10"/>
    <x v="11"/>
    <x v="0"/>
    <x v="0"/>
    <x v="6"/>
    <x v="1"/>
    <x v="1"/>
    <x v="13"/>
    <x v="13"/>
  </r>
  <r>
    <x v="0"/>
    <x v="0"/>
    <x v="106"/>
    <x v="129"/>
    <x v="101"/>
    <x v="95"/>
    <x v="36"/>
    <x v="0"/>
    <x v="16"/>
    <x v="109"/>
    <x v="102"/>
    <x v="130"/>
    <x v="130"/>
  </r>
  <r>
    <x v="0"/>
    <x v="0"/>
    <x v="106"/>
    <x v="129"/>
    <x v="173"/>
    <x v="176"/>
    <x v="91"/>
    <x v="0"/>
    <x v="12"/>
    <x v="129"/>
    <x v="120"/>
    <x v="202"/>
    <x v="202"/>
  </r>
  <r>
    <x v="0"/>
    <x v="0"/>
    <x v="106"/>
    <x v="129"/>
    <x v="124"/>
    <x v="124"/>
    <x v="63"/>
    <x v="0"/>
    <x v="13"/>
    <x v="125"/>
    <x v="122"/>
    <x v="155"/>
    <x v="155"/>
  </r>
  <r>
    <x v="1"/>
    <x v="1"/>
    <x v="107"/>
    <x v="8"/>
    <x v="56"/>
    <x v="56"/>
    <x v="8"/>
    <x v="1"/>
    <x v="20"/>
    <x v="13"/>
    <x v="12"/>
    <x v="65"/>
    <x v="65"/>
  </r>
  <r>
    <x v="1"/>
    <x v="1"/>
    <x v="107"/>
    <x v="8"/>
    <x v="142"/>
    <x v="144"/>
    <x v="58"/>
    <x v="16"/>
    <x v="29"/>
    <x v="133"/>
    <x v="105"/>
    <x v="176"/>
    <x v="176"/>
  </r>
  <r>
    <x v="0"/>
    <x v="0"/>
    <x v="108"/>
    <x v="120"/>
    <x v="7"/>
    <x v="7"/>
    <x v="0"/>
    <x v="0"/>
    <x v="38"/>
    <x v="45"/>
    <x v="37"/>
    <x v="50"/>
    <x v="50"/>
  </r>
  <r>
    <x v="0"/>
    <x v="0"/>
    <x v="109"/>
    <x v="121"/>
    <x v="2"/>
    <x v="2"/>
    <x v="0"/>
    <x v="0"/>
    <x v="50"/>
    <x v="47"/>
    <x v="38"/>
    <x v="57"/>
    <x v="57"/>
  </r>
  <r>
    <x v="0"/>
    <x v="0"/>
    <x v="109"/>
    <x v="121"/>
    <x v="0"/>
    <x v="0"/>
    <x v="0"/>
    <x v="0"/>
    <x v="7"/>
    <x v="1"/>
    <x v="1"/>
    <x v="7"/>
    <x v="7"/>
  </r>
  <r>
    <x v="0"/>
    <x v="0"/>
    <x v="110"/>
    <x v="90"/>
    <x v="128"/>
    <x v="127"/>
    <x v="87"/>
    <x v="0"/>
    <x v="30"/>
    <x v="80"/>
    <x v="77"/>
    <x v="159"/>
    <x v="159"/>
  </r>
  <r>
    <x v="0"/>
    <x v="0"/>
    <x v="110"/>
    <x v="90"/>
    <x v="61"/>
    <x v="60"/>
    <x v="11"/>
    <x v="0"/>
    <x v="26"/>
    <x v="31"/>
    <x v="29"/>
    <x v="78"/>
    <x v="78"/>
  </r>
  <r>
    <x v="0"/>
    <x v="0"/>
    <x v="110"/>
    <x v="90"/>
    <x v="129"/>
    <x v="129"/>
    <x v="68"/>
    <x v="0"/>
    <x v="40"/>
    <x v="78"/>
    <x v="80"/>
    <x v="161"/>
    <x v="161"/>
  </r>
  <r>
    <x v="0"/>
    <x v="0"/>
    <x v="111"/>
    <x v="91"/>
    <x v="13"/>
    <x v="14"/>
    <x v="0"/>
    <x v="0"/>
    <x v="0"/>
    <x v="50"/>
    <x v="46"/>
    <x v="30"/>
    <x v="30"/>
  </r>
  <r>
    <x v="0"/>
    <x v="0"/>
    <x v="111"/>
    <x v="91"/>
    <x v="37"/>
    <x v="37"/>
    <x v="1"/>
    <x v="0"/>
    <x v="0"/>
    <x v="23"/>
    <x v="23"/>
    <x v="44"/>
    <x v="44"/>
  </r>
  <r>
    <x v="0"/>
    <x v="0"/>
    <x v="111"/>
    <x v="91"/>
    <x v="9"/>
    <x v="4"/>
    <x v="3"/>
    <x v="0"/>
    <x v="0"/>
    <x v="48"/>
    <x v="49"/>
    <x v="29"/>
    <x v="29"/>
  </r>
  <r>
    <x v="1"/>
    <x v="1"/>
    <x v="112"/>
    <x v="13"/>
    <x v="53"/>
    <x v="52"/>
    <x v="18"/>
    <x v="2"/>
    <x v="2"/>
    <x v="107"/>
    <x v="36"/>
    <x v="77"/>
    <x v="77"/>
  </r>
  <r>
    <x v="1"/>
    <x v="1"/>
    <x v="113"/>
    <x v="14"/>
    <x v="83"/>
    <x v="81"/>
    <x v="45"/>
    <x v="3"/>
    <x v="2"/>
    <x v="140"/>
    <x v="61"/>
    <x v="116"/>
    <x v="116"/>
  </r>
  <r>
    <x v="1"/>
    <x v="1"/>
    <x v="113"/>
    <x v="14"/>
    <x v="35"/>
    <x v="35"/>
    <x v="12"/>
    <x v="1"/>
    <x v="7"/>
    <x v="15"/>
    <x v="14"/>
    <x v="33"/>
    <x v="33"/>
  </r>
  <r>
    <x v="0"/>
    <x v="0"/>
    <x v="114"/>
    <x v="127"/>
    <x v="102"/>
    <x v="101"/>
    <x v="52"/>
    <x v="19"/>
    <x v="28"/>
    <x v="103"/>
    <x v="103"/>
    <x v="133"/>
    <x v="133"/>
  </r>
  <r>
    <x v="1"/>
    <x v="1"/>
    <x v="115"/>
    <x v="53"/>
    <x v="31"/>
    <x v="29"/>
    <x v="12"/>
    <x v="2"/>
    <x v="33"/>
    <x v="106"/>
    <x v="47"/>
    <x v="68"/>
    <x v="68"/>
  </r>
  <r>
    <x v="1"/>
    <x v="1"/>
    <x v="116"/>
    <x v="45"/>
    <x v="12"/>
    <x v="13"/>
    <x v="0"/>
    <x v="0"/>
    <x v="7"/>
    <x v="5"/>
    <x v="5"/>
    <x v="17"/>
    <x v="17"/>
  </r>
  <r>
    <x v="1"/>
    <x v="1"/>
    <x v="117"/>
    <x v="33"/>
    <x v="70"/>
    <x v="73"/>
    <x v="4"/>
    <x v="0"/>
    <x v="3"/>
    <x v="76"/>
    <x v="83"/>
    <x v="90"/>
    <x v="90"/>
  </r>
  <r>
    <x v="1"/>
    <x v="1"/>
    <x v="117"/>
    <x v="33"/>
    <x v="95"/>
    <x v="92"/>
    <x v="37"/>
    <x v="0"/>
    <x v="5"/>
    <x v="89"/>
    <x v="81"/>
    <x v="121"/>
    <x v="121"/>
  </r>
  <r>
    <x v="1"/>
    <x v="1"/>
    <x v="118"/>
    <x v="40"/>
    <x v="60"/>
    <x v="62"/>
    <x v="36"/>
    <x v="0"/>
    <x v="7"/>
    <x v="19"/>
    <x v="20"/>
    <x v="72"/>
    <x v="72"/>
  </r>
  <r>
    <x v="0"/>
    <x v="0"/>
    <x v="119"/>
    <x v="101"/>
    <x v="195"/>
    <x v="193"/>
    <x v="146"/>
    <x v="12"/>
    <x v="52"/>
    <x v="157"/>
    <x v="137"/>
    <x v="226"/>
    <x v="226"/>
  </r>
  <r>
    <x v="0"/>
    <x v="0"/>
    <x v="119"/>
    <x v="101"/>
    <x v="187"/>
    <x v="190"/>
    <x v="97"/>
    <x v="11"/>
    <x v="36"/>
    <x v="134"/>
    <x v="124"/>
    <x v="220"/>
    <x v="220"/>
  </r>
  <r>
    <x v="0"/>
    <x v="0"/>
    <x v="119"/>
    <x v="101"/>
    <x v="196"/>
    <x v="194"/>
    <x v="140"/>
    <x v="7"/>
    <x v="43"/>
    <x v="147"/>
    <x v="135"/>
    <x v="228"/>
    <x v="228"/>
  </r>
  <r>
    <x v="1"/>
    <x v="1"/>
    <x v="120"/>
    <x v="29"/>
    <x v="89"/>
    <x v="87"/>
    <x v="72"/>
    <x v="51"/>
    <x v="31"/>
    <x v="141"/>
    <x v="62"/>
    <x v="123"/>
    <x v="123"/>
  </r>
  <r>
    <x v="1"/>
    <x v="1"/>
    <x v="121"/>
    <x v="32"/>
    <x v="0"/>
    <x v="0"/>
    <x v="0"/>
    <x v="0"/>
    <x v="7"/>
    <x v="0"/>
    <x v="0"/>
    <x v="5"/>
    <x v="5"/>
  </r>
  <r>
    <x v="1"/>
    <x v="1"/>
    <x v="121"/>
    <x v="32"/>
    <x v="0"/>
    <x v="0"/>
    <x v="0"/>
    <x v="0"/>
    <x v="7"/>
    <x v="0"/>
    <x v="0"/>
    <x v="5"/>
    <x v="5"/>
  </r>
  <r>
    <x v="0"/>
    <x v="0"/>
    <x v="122"/>
    <x v="113"/>
    <x v="134"/>
    <x v="142"/>
    <x v="32"/>
    <x v="0"/>
    <x v="29"/>
    <x v="63"/>
    <x v="70"/>
    <x v="163"/>
    <x v="163"/>
  </r>
  <r>
    <x v="0"/>
    <x v="0"/>
    <x v="122"/>
    <x v="113"/>
    <x v="10"/>
    <x v="11"/>
    <x v="0"/>
    <x v="0"/>
    <x v="4"/>
    <x v="2"/>
    <x v="2"/>
    <x v="12"/>
    <x v="12"/>
  </r>
  <r>
    <x v="1"/>
    <x v="1"/>
    <x v="123"/>
    <x v="12"/>
    <x v="24"/>
    <x v="25"/>
    <x v="1"/>
    <x v="0"/>
    <x v="0"/>
    <x v="1"/>
    <x v="1"/>
    <x v="18"/>
    <x v="18"/>
  </r>
  <r>
    <x v="1"/>
    <x v="1"/>
    <x v="124"/>
    <x v="10"/>
    <x v="132"/>
    <x v="140"/>
    <x v="69"/>
    <x v="0"/>
    <x v="29"/>
    <x v="104"/>
    <x v="103"/>
    <x v="164"/>
    <x v="164"/>
  </r>
  <r>
    <x v="0"/>
    <x v="0"/>
    <x v="125"/>
    <x v="119"/>
    <x v="1"/>
    <x v="1"/>
    <x v="0"/>
    <x v="0"/>
    <x v="48"/>
    <x v="20"/>
    <x v="19"/>
    <x v="47"/>
    <x v="47"/>
  </r>
  <r>
    <x v="1"/>
    <x v="1"/>
    <x v="126"/>
    <x v="30"/>
    <x v="125"/>
    <x v="128"/>
    <x v="46"/>
    <x v="8"/>
    <x v="12"/>
    <x v="76"/>
    <x v="61"/>
    <x v="154"/>
    <x v="154"/>
  </r>
  <r>
    <x v="1"/>
    <x v="1"/>
    <x v="126"/>
    <x v="30"/>
    <x v="0"/>
    <x v="0"/>
    <x v="0"/>
    <x v="0"/>
    <x v="0"/>
    <x v="4"/>
    <x v="4"/>
    <x v="2"/>
    <x v="2"/>
  </r>
  <r>
    <x v="1"/>
    <x v="1"/>
    <x v="126"/>
    <x v="30"/>
    <x v="186"/>
    <x v="191"/>
    <x v="85"/>
    <x v="38"/>
    <x v="31"/>
    <x v="90"/>
    <x v="76"/>
    <x v="216"/>
    <x v="216"/>
  </r>
  <r>
    <x v="1"/>
    <x v="1"/>
    <x v="127"/>
    <x v="23"/>
    <x v="159"/>
    <x v="160"/>
    <x v="99"/>
    <x v="17"/>
    <x v="2"/>
    <x v="78"/>
    <x v="63"/>
    <x v="190"/>
    <x v="190"/>
  </r>
  <r>
    <x v="1"/>
    <x v="1"/>
    <x v="127"/>
    <x v="23"/>
    <x v="158"/>
    <x v="152"/>
    <x v="114"/>
    <x v="40"/>
    <x v="4"/>
    <x v="94"/>
    <x v="79"/>
    <x v="189"/>
    <x v="189"/>
  </r>
  <r>
    <x v="1"/>
    <x v="1"/>
    <x v="127"/>
    <x v="23"/>
    <x v="54"/>
    <x v="53"/>
    <x v="26"/>
    <x v="9"/>
    <x v="2"/>
    <x v="18"/>
    <x v="17"/>
    <x v="63"/>
    <x v="63"/>
  </r>
  <r>
    <x v="0"/>
    <x v="0"/>
    <x v="128"/>
    <x v="86"/>
    <x v="212"/>
    <x v="209"/>
    <x v="155"/>
    <x v="0"/>
    <x v="14"/>
    <x v="115"/>
    <x v="106"/>
    <x v="242"/>
    <x v="242"/>
  </r>
  <r>
    <x v="0"/>
    <x v="0"/>
    <x v="128"/>
    <x v="86"/>
    <x v="198"/>
    <x v="204"/>
    <x v="90"/>
    <x v="0"/>
    <x v="14"/>
    <x v="70"/>
    <x v="72"/>
    <x v="229"/>
    <x v="229"/>
  </r>
  <r>
    <x v="0"/>
    <x v="0"/>
    <x v="128"/>
    <x v="86"/>
    <x v="216"/>
    <x v="215"/>
    <x v="144"/>
    <x v="0"/>
    <x v="14"/>
    <x v="105"/>
    <x v="105"/>
    <x v="247"/>
    <x v="247"/>
  </r>
  <r>
    <x v="0"/>
    <x v="0"/>
    <x v="129"/>
    <x v="83"/>
    <x v="117"/>
    <x v="115"/>
    <x v="71"/>
    <x v="2"/>
    <x v="22"/>
    <x v="51"/>
    <x v="41"/>
    <x v="149"/>
    <x v="149"/>
  </r>
  <r>
    <x v="0"/>
    <x v="0"/>
    <x v="129"/>
    <x v="83"/>
    <x v="28"/>
    <x v="31"/>
    <x v="7"/>
    <x v="1"/>
    <x v="16"/>
    <x v="8"/>
    <x v="9"/>
    <x v="23"/>
    <x v="23"/>
  </r>
  <r>
    <x v="0"/>
    <x v="0"/>
    <x v="129"/>
    <x v="83"/>
    <x v="139"/>
    <x v="136"/>
    <x v="66"/>
    <x v="3"/>
    <x v="22"/>
    <x v="96"/>
    <x v="95"/>
    <x v="169"/>
    <x v="169"/>
  </r>
  <r>
    <x v="0"/>
    <x v="0"/>
    <x v="130"/>
    <x v="89"/>
    <x v="219"/>
    <x v="210"/>
    <x v="161"/>
    <x v="0"/>
    <x v="27"/>
    <x v="142"/>
    <x v="128"/>
    <x v="248"/>
    <x v="248"/>
  </r>
  <r>
    <x v="0"/>
    <x v="0"/>
    <x v="130"/>
    <x v="89"/>
    <x v="115"/>
    <x v="118"/>
    <x v="20"/>
    <x v="0"/>
    <x v="29"/>
    <x v="28"/>
    <x v="26"/>
    <x v="147"/>
    <x v="147"/>
  </r>
  <r>
    <x v="0"/>
    <x v="0"/>
    <x v="130"/>
    <x v="89"/>
    <x v="215"/>
    <x v="213"/>
    <x v="137"/>
    <x v="1"/>
    <x v="44"/>
    <x v="146"/>
    <x v="134"/>
    <x v="246"/>
    <x v="246"/>
  </r>
  <r>
    <x v="1"/>
    <x v="1"/>
    <x v="131"/>
    <x v="15"/>
    <x v="191"/>
    <x v="188"/>
    <x v="126"/>
    <x v="20"/>
    <x v="17"/>
    <x v="115"/>
    <x v="93"/>
    <x v="221"/>
    <x v="221"/>
  </r>
  <r>
    <x v="1"/>
    <x v="1"/>
    <x v="131"/>
    <x v="15"/>
    <x v="189"/>
    <x v="185"/>
    <x v="130"/>
    <x v="27"/>
    <x v="14"/>
    <x v="122"/>
    <x v="98"/>
    <x v="218"/>
    <x v="218"/>
  </r>
  <r>
    <x v="1"/>
    <x v="1"/>
    <x v="131"/>
    <x v="15"/>
    <x v="88"/>
    <x v="89"/>
    <x v="27"/>
    <x v="5"/>
    <x v="9"/>
    <x v="27"/>
    <x v="24"/>
    <x v="108"/>
    <x v="108"/>
  </r>
  <r>
    <x v="0"/>
    <x v="0"/>
    <x v="132"/>
    <x v="57"/>
    <x v="27"/>
    <x v="26"/>
    <x v="9"/>
    <x v="12"/>
    <x v="16"/>
    <x v="21"/>
    <x v="20"/>
    <x v="40"/>
    <x v="40"/>
  </r>
  <r>
    <x v="0"/>
    <x v="0"/>
    <x v="132"/>
    <x v="57"/>
    <x v="77"/>
    <x v="75"/>
    <x v="31"/>
    <x v="24"/>
    <x v="22"/>
    <x v="26"/>
    <x v="25"/>
    <x v="93"/>
    <x v="93"/>
  </r>
  <r>
    <x v="0"/>
    <x v="0"/>
    <x v="133"/>
    <x v="84"/>
    <x v="210"/>
    <x v="205"/>
    <x v="157"/>
    <x v="0"/>
    <x v="12"/>
    <x v="148"/>
    <x v="130"/>
    <x v="240"/>
    <x v="240"/>
  </r>
  <r>
    <x v="0"/>
    <x v="0"/>
    <x v="133"/>
    <x v="84"/>
    <x v="99"/>
    <x v="103"/>
    <x v="20"/>
    <x v="0"/>
    <x v="12"/>
    <x v="16"/>
    <x v="18"/>
    <x v="118"/>
    <x v="118"/>
  </r>
  <r>
    <x v="0"/>
    <x v="0"/>
    <x v="133"/>
    <x v="84"/>
    <x v="207"/>
    <x v="207"/>
    <x v="135"/>
    <x v="0"/>
    <x v="12"/>
    <x v="119"/>
    <x v="118"/>
    <x v="235"/>
    <x v="235"/>
  </r>
  <r>
    <x v="0"/>
    <x v="0"/>
    <x v="134"/>
    <x v="54"/>
    <x v="222"/>
    <x v="216"/>
    <x v="154"/>
    <x v="24"/>
    <x v="54"/>
    <x v="91"/>
    <x v="85"/>
    <x v="253"/>
    <x v="253"/>
  </r>
  <r>
    <x v="0"/>
    <x v="0"/>
    <x v="134"/>
    <x v="54"/>
    <x v="221"/>
    <x v="222"/>
    <x v="119"/>
    <x v="36"/>
    <x v="51"/>
    <x v="59"/>
    <x v="59"/>
    <x v="251"/>
    <x v="251"/>
  </r>
  <r>
    <x v="0"/>
    <x v="0"/>
    <x v="134"/>
    <x v="54"/>
    <x v="224"/>
    <x v="220"/>
    <x v="148"/>
    <x v="27"/>
    <x v="54"/>
    <x v="110"/>
    <x v="111"/>
    <x v="255"/>
    <x v="255"/>
  </r>
  <r>
    <x v="0"/>
    <x v="0"/>
    <x v="135"/>
    <x v="56"/>
    <x v="2"/>
    <x v="2"/>
    <x v="0"/>
    <x v="0"/>
    <x v="54"/>
    <x v="53"/>
    <x v="45"/>
    <x v="66"/>
    <x v="66"/>
  </r>
  <r>
    <x v="0"/>
    <x v="0"/>
    <x v="135"/>
    <x v="56"/>
    <x v="19"/>
    <x v="20"/>
    <x v="1"/>
    <x v="0"/>
    <x v="51"/>
    <x v="36"/>
    <x v="34"/>
    <x v="61"/>
    <x v="61"/>
  </r>
  <r>
    <x v="0"/>
    <x v="0"/>
    <x v="135"/>
    <x v="56"/>
    <x v="1"/>
    <x v="1"/>
    <x v="0"/>
    <x v="0"/>
    <x v="54"/>
    <x v="84"/>
    <x v="82"/>
    <x v="70"/>
    <x v="70"/>
  </r>
  <r>
    <x v="0"/>
    <x v="0"/>
    <x v="136"/>
    <x v="96"/>
    <x v="192"/>
    <x v="188"/>
    <x v="143"/>
    <x v="0"/>
    <x v="26"/>
    <x v="115"/>
    <x v="110"/>
    <x v="223"/>
    <x v="223"/>
  </r>
  <r>
    <x v="0"/>
    <x v="0"/>
    <x v="136"/>
    <x v="96"/>
    <x v="131"/>
    <x v="138"/>
    <x v="32"/>
    <x v="0"/>
    <x v="23"/>
    <x v="62"/>
    <x v="61"/>
    <x v="160"/>
    <x v="160"/>
  </r>
  <r>
    <x v="0"/>
    <x v="0"/>
    <x v="136"/>
    <x v="96"/>
    <x v="190"/>
    <x v="186"/>
    <x v="128"/>
    <x v="0"/>
    <x v="20"/>
    <x v="102"/>
    <x v="103"/>
    <x v="219"/>
    <x v="219"/>
  </r>
  <r>
    <x v="0"/>
    <x v="0"/>
    <x v="137"/>
    <x v="97"/>
    <x v="1"/>
    <x v="1"/>
    <x v="0"/>
    <x v="0"/>
    <x v="0"/>
    <x v="93"/>
    <x v="91"/>
    <x v="43"/>
    <x v="43"/>
  </r>
  <r>
    <x v="0"/>
    <x v="0"/>
    <x v="137"/>
    <x v="97"/>
    <x v="18"/>
    <x v="19"/>
    <x v="1"/>
    <x v="0"/>
    <x v="0"/>
    <x v="37"/>
    <x v="36"/>
    <x v="32"/>
    <x v="32"/>
  </r>
  <r>
    <x v="0"/>
    <x v="0"/>
    <x v="137"/>
    <x v="97"/>
    <x v="3"/>
    <x v="2"/>
    <x v="0"/>
    <x v="0"/>
    <x v="0"/>
    <x v="84"/>
    <x v="84"/>
    <x v="39"/>
    <x v="39"/>
  </r>
  <r>
    <x v="0"/>
    <x v="0"/>
    <x v="138"/>
    <x v="103"/>
    <x v="48"/>
    <x v="50"/>
    <x v="1"/>
    <x v="0"/>
    <x v="25"/>
    <x v="54"/>
    <x v="48"/>
    <x v="72"/>
    <x v="72"/>
  </r>
  <r>
    <x v="0"/>
    <x v="0"/>
    <x v="138"/>
    <x v="103"/>
    <x v="3"/>
    <x v="3"/>
    <x v="0"/>
    <x v="0"/>
    <x v="7"/>
    <x v="1"/>
    <x v="1"/>
    <x v="10"/>
    <x v="10"/>
  </r>
  <r>
    <x v="0"/>
    <x v="0"/>
    <x v="139"/>
    <x v="116"/>
    <x v="20"/>
    <x v="21"/>
    <x v="3"/>
    <x v="0"/>
    <x v="29"/>
    <x v="45"/>
    <x v="43"/>
    <x v="49"/>
    <x v="49"/>
  </r>
  <r>
    <x v="1"/>
    <x v="1"/>
    <x v="140"/>
    <x v="50"/>
    <x v="180"/>
    <x v="180"/>
    <x v="116"/>
    <x v="0"/>
    <x v="29"/>
    <x v="115"/>
    <x v="74"/>
    <x v="212"/>
    <x v="212"/>
  </r>
  <r>
    <x v="1"/>
    <x v="1"/>
    <x v="140"/>
    <x v="50"/>
    <x v="178"/>
    <x v="175"/>
    <x v="125"/>
    <x v="0"/>
    <x v="33"/>
    <x v="105"/>
    <x v="89"/>
    <x v="206"/>
    <x v="206"/>
  </r>
  <r>
    <x v="1"/>
    <x v="1"/>
    <x v="140"/>
    <x v="50"/>
    <x v="74"/>
    <x v="75"/>
    <x v="10"/>
    <x v="0"/>
    <x v="20"/>
    <x v="34"/>
    <x v="26"/>
    <x v="92"/>
    <x v="92"/>
  </r>
  <r>
    <x v="1"/>
    <x v="1"/>
    <x v="141"/>
    <x v="42"/>
    <x v="44"/>
    <x v="44"/>
    <x v="14"/>
    <x v="3"/>
    <x v="29"/>
    <x v="41"/>
    <x v="40"/>
    <x v="65"/>
    <x v="65"/>
  </r>
  <r>
    <x v="1"/>
    <x v="1"/>
    <x v="141"/>
    <x v="42"/>
    <x v="143"/>
    <x v="137"/>
    <x v="78"/>
    <x v="26"/>
    <x v="16"/>
    <x v="91"/>
    <x v="51"/>
    <x v="174"/>
    <x v="174"/>
  </r>
  <r>
    <x v="1"/>
    <x v="1"/>
    <x v="141"/>
    <x v="42"/>
    <x v="140"/>
    <x v="133"/>
    <x v="89"/>
    <x v="21"/>
    <x v="53"/>
    <x v="127"/>
    <x v="109"/>
    <x v="178"/>
    <x v="178"/>
  </r>
  <r>
    <x v="1"/>
    <x v="1"/>
    <x v="141"/>
    <x v="42"/>
    <x v="33"/>
    <x v="33"/>
    <x v="13"/>
    <x v="3"/>
    <x v="25"/>
    <x v="14"/>
    <x v="16"/>
    <x v="42"/>
    <x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4" cacheId="0" applyNumberFormats="0" applyBorderFormats="0" applyFontFormats="0" applyPatternFormats="0" applyAlignmentFormats="0" applyWidthHeightFormats="0" dataCaption="Values" itemPrintTitles="1" indent="0" outline="1" outlineData="1">
  <location ref="A3:E148" firstHeaderRow="1" firstDataRow="2" firstDataCol="1" rowPageCount="1" colPageCount="1"/>
  <pivotFields count="13">
    <pivotField showAll="0"/>
    <pivotField axis="axisCol" showAll="0">
      <items count="4">
        <item x="0"/>
        <item x="1"/>
        <item x="2"/>
        <item t="default"/>
      </items>
    </pivotField>
    <pivotField axis="axisRow" showAll="0">
      <items count="144">
        <item x="2"/>
        <item x="3"/>
        <item x="0"/>
        <item x="1"/>
        <item x="4"/>
        <item x="5"/>
        <item x="6"/>
        <item x="7"/>
        <item x="8"/>
        <item x="10"/>
        <item x="9"/>
        <item x="11"/>
        <item x="12"/>
        <item x="13"/>
        <item x="17"/>
        <item x="14"/>
        <item x="15"/>
        <item x="16"/>
        <item x="18"/>
        <item x="19"/>
        <item x="20"/>
        <item x="22"/>
        <item x="23"/>
        <item x="24"/>
        <item x="21"/>
        <item x="25"/>
        <item x="26"/>
        <item x="27"/>
        <item x="28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29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t="default"/>
      </items>
    </pivotField>
    <pivotField axis="axisPage" showAll="0">
      <items count="1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2"/>
  </rowFields>
  <rowItems count="14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 t="grand">
      <x v="143"/>
    </i>
  </rowItems>
  <colFields count="1">
    <field x="1"/>
  </colFields>
  <colItems count="4">
    <i>
      <x/>
    </i>
    <i>
      <x v="1"/>
    </i>
    <i>
      <x v="2"/>
    </i>
    <i t="grand">
      <x v="3"/>
    </i>
  </colItems>
  <pageFields count="1">
    <pageField fld="3" hier="-1"/>
  </pageFields>
  <dataFields count="1">
    <dataField name="Sum of TOT/MM" fld="12" baseField="0" baseItem="0"/>
  </dataFields>
  <formats count="9">
    <format dxfId="8">
      <pivotArea fieldPosition="0">
        <references count="1">
          <reference field="2" count="142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</reference>
        </references>
      </pivotArea>
    </format>
    <format dxfId="7">
      <pivotArea outline="0" fieldPosition="0"/>
    </format>
    <format dxfId="6">
      <pivotArea dataOnly="0" labelOnly="1" outline="0" fieldPosition="0"/>
    </format>
    <format dxfId="5">
      <pivotArea dataOnly="0" labelOnly="1" fieldPosition="0">
        <references count="1">
          <reference field="2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4">
      <pivotArea dataOnly="0" labelOnly="1" fieldPosition="0">
        <references count="1">
          <reference field="2" count="50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</reference>
        </references>
      </pivotArea>
    </format>
    <format dxfId="3">
      <pivotArea dataOnly="0" labelOnly="1" fieldPosition="0">
        <references count="1">
          <reference field="2" count="43"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</reference>
        </references>
      </pivotArea>
    </format>
    <format dxfId="2">
      <pivotArea dataOnly="0" labelOnly="1" outline="0" fieldPosition="0"/>
    </format>
    <format dxfId="1">
      <pivotArea dataOnly="0" labelOnly="1" fieldPosition="0">
        <references count="1">
          <reference field="1" count="0"/>
        </references>
      </pivotArea>
    </format>
    <format dxfId="0">
      <pivotArea dataOnly="0" labelOnly="1"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50"/>
  <sheetViews>
    <sheetView tabSelected="1" zoomScale="110" zoomScaleNormal="110" workbookViewId="0">
      <pane ySplit="1" topLeftCell="A2" activePane="bottomLeft" state="frozen"/>
      <selection pane="bottomLeft" activeCell="G17" sqref="G17"/>
    </sheetView>
  </sheetViews>
  <sheetFormatPr defaultColWidth="8.7421875" defaultRowHeight="15" x14ac:dyDescent="0.2"/>
  <cols>
    <col min="1" max="1" width="8.609375" customWidth="1"/>
    <col min="2" max="2" width="8.0703125" customWidth="1"/>
    <col min="3" max="3" width="24.34765625" style="3" customWidth="1"/>
    <col min="4" max="4" width="11.296875" customWidth="1"/>
    <col min="5" max="5" width="14.2578125" customWidth="1"/>
    <col min="6" max="6" width="11.296875" customWidth="1"/>
    <col min="7" max="7" width="60.66796875" customWidth="1"/>
    <col min="8" max="8" width="22.328125" customWidth="1"/>
    <col min="9" max="9" width="8.7421875" customWidth="1"/>
    <col min="10" max="10" width="13.5859375" hidden="1" customWidth="1"/>
    <col min="11" max="11" width="13.44921875" hidden="1" customWidth="1"/>
    <col min="12" max="12" width="11.02734375" style="4" customWidth="1"/>
    <col min="13" max="13" width="11.8359375" style="5" customWidth="1"/>
    <col min="14" max="14" width="14.66015625" customWidth="1"/>
  </cols>
  <sheetData>
    <row r="1" spans="1:13" ht="57.75" customHeight="1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/>
      <c r="L1" s="6" t="s">
        <v>10</v>
      </c>
      <c r="M1" s="6" t="s">
        <v>11</v>
      </c>
    </row>
    <row r="2" spans="1:13" x14ac:dyDescent="0.2">
      <c r="A2" s="7" t="str">
        <f>IF(_xlfn.NUMBERVALUE(SEARCH("Alinity c",G2)),"CC","IA")</f>
        <v>CC</v>
      </c>
      <c r="B2" s="7" t="s">
        <v>12</v>
      </c>
      <c r="C2" s="8" t="s">
        <v>13</v>
      </c>
      <c r="D2" s="9" t="s">
        <v>14</v>
      </c>
      <c r="E2" s="7" t="s">
        <v>15</v>
      </c>
      <c r="F2" s="10"/>
      <c r="G2" s="7" t="s">
        <v>16</v>
      </c>
      <c r="H2" s="7">
        <v>200</v>
      </c>
      <c r="I2" s="7" t="s">
        <v>17</v>
      </c>
      <c r="J2" s="11">
        <f>VLOOKUP(D2,[1]Sheet2!$A$5:$E$146,5,FALSE())</f>
        <v>159.666666666667</v>
      </c>
      <c r="K2" s="7"/>
      <c r="L2" s="8">
        <v>200</v>
      </c>
      <c r="M2" s="12">
        <f>L2/H2</f>
        <v>1</v>
      </c>
    </row>
    <row r="3" spans="1:13" x14ac:dyDescent="0.2">
      <c r="A3" s="7" t="str">
        <f>IF(_xlfn.NUMBERVALUE(SEARCH("Alinity c",G3)),"CC","IA")</f>
        <v>CC</v>
      </c>
      <c r="B3" s="7" t="s">
        <v>12</v>
      </c>
      <c r="C3" s="8" t="s">
        <v>18</v>
      </c>
      <c r="D3" s="9"/>
      <c r="E3" s="7" t="s">
        <v>19</v>
      </c>
      <c r="F3" s="10"/>
      <c r="G3" s="7" t="s">
        <v>20</v>
      </c>
      <c r="H3" s="7">
        <v>400</v>
      </c>
      <c r="I3" s="7" t="s">
        <v>21</v>
      </c>
      <c r="J3" s="11" t="e">
        <f>VLOOKUP(D3,[1]Sheet2!$A$5:$E$146,5,FALSE())</f>
        <v>#N/A</v>
      </c>
      <c r="K3" s="7"/>
      <c r="L3" s="13" t="s">
        <v>22</v>
      </c>
      <c r="M3" s="14" t="s">
        <v>23</v>
      </c>
    </row>
    <row r="4" spans="1:13" x14ac:dyDescent="0.2">
      <c r="A4" s="7" t="str">
        <f>IF(_xlfn.NUMBERVALUE(SEARCH("Alinity c",G4)),"CC","IA")</f>
        <v>CC</v>
      </c>
      <c r="B4" s="7" t="s">
        <v>12</v>
      </c>
      <c r="C4" s="8" t="s">
        <v>24</v>
      </c>
      <c r="D4" s="9" t="s">
        <v>25</v>
      </c>
      <c r="E4" s="7" t="s">
        <v>26</v>
      </c>
      <c r="F4" s="10"/>
      <c r="G4" s="7" t="s">
        <v>27</v>
      </c>
      <c r="H4" s="7">
        <v>200</v>
      </c>
      <c r="I4" s="7" t="s">
        <v>28</v>
      </c>
      <c r="J4" s="11">
        <f>VLOOKUP(D4,[1]Sheet2!$A$5:$E$146,5,FALSE())</f>
        <v>169</v>
      </c>
      <c r="K4" s="7"/>
      <c r="L4" s="8">
        <v>200</v>
      </c>
      <c r="M4" s="12">
        <f>L4/H4</f>
        <v>1</v>
      </c>
    </row>
    <row r="5" spans="1:13" x14ac:dyDescent="0.2">
      <c r="A5" s="7" t="str">
        <f>IF(_xlfn.NUMBERVALUE(SEARCH("Alinity c",G5)),"CC","IA")</f>
        <v>CC</v>
      </c>
      <c r="B5" s="7" t="s">
        <v>12</v>
      </c>
      <c r="C5" s="2" t="s">
        <v>29</v>
      </c>
      <c r="D5" s="15"/>
      <c r="E5" s="16"/>
      <c r="F5" s="10"/>
      <c r="G5" s="15" t="s">
        <v>30</v>
      </c>
      <c r="H5" s="15">
        <v>3120</v>
      </c>
      <c r="I5" s="15" t="s">
        <v>31</v>
      </c>
      <c r="J5" s="17"/>
      <c r="K5" s="15"/>
      <c r="L5" s="18"/>
      <c r="M5" s="19"/>
    </row>
    <row r="6" spans="1:13" x14ac:dyDescent="0.2">
      <c r="A6" s="7" t="str">
        <f>IF(_xlfn.NUMBERVALUE(SEARCH("Alinity c",G6)),"CC","IA")</f>
        <v>CC</v>
      </c>
      <c r="B6" s="7" t="s">
        <v>12</v>
      </c>
      <c r="C6" s="2"/>
      <c r="D6" s="9" t="s">
        <v>32</v>
      </c>
      <c r="E6" s="7" t="s">
        <v>33</v>
      </c>
      <c r="F6" s="10"/>
      <c r="G6" s="7" t="s">
        <v>30</v>
      </c>
      <c r="H6" s="7">
        <v>1044</v>
      </c>
      <c r="I6" s="7" t="s">
        <v>34</v>
      </c>
      <c r="J6" s="11">
        <f>VLOOKUP(D6,[1]Sheet2!$A$5:$E$146,5,FALSE())</f>
        <v>1439</v>
      </c>
      <c r="K6" s="7"/>
      <c r="L6" s="8">
        <v>2000</v>
      </c>
      <c r="M6" s="12">
        <f>L6/H6</f>
        <v>1.9157088122605364</v>
      </c>
    </row>
    <row r="7" spans="1:13" x14ac:dyDescent="0.2">
      <c r="A7" s="7" t="str">
        <f>IF(_xlfn.NUMBERVALUE(SEARCH("Alinity c",G7)),"CC","IA")</f>
        <v>CC</v>
      </c>
      <c r="B7" s="7" t="s">
        <v>12</v>
      </c>
      <c r="C7" s="8" t="s">
        <v>35</v>
      </c>
      <c r="D7" s="9" t="s">
        <v>36</v>
      </c>
      <c r="E7" s="7" t="s">
        <v>37</v>
      </c>
      <c r="F7" s="10"/>
      <c r="G7" s="7" t="s">
        <v>38</v>
      </c>
      <c r="H7" s="7">
        <v>640</v>
      </c>
      <c r="I7" s="7" t="s">
        <v>39</v>
      </c>
      <c r="J7" s="11">
        <f>VLOOKUP(D7,[1]Sheet2!$A$5:$E$146,5,FALSE())</f>
        <v>1541.6666666666699</v>
      </c>
      <c r="K7" s="7"/>
      <c r="L7" s="8">
        <v>1900</v>
      </c>
      <c r="M7" s="12">
        <f>L7/H7</f>
        <v>2.96875</v>
      </c>
    </row>
    <row r="8" spans="1:13" x14ac:dyDescent="0.2">
      <c r="A8" s="7" t="str">
        <f>IF(_xlfn.NUMBERVALUE(SEARCH("Alinity c",G8)),"CC","IA")</f>
        <v>CC</v>
      </c>
      <c r="B8" s="7" t="s">
        <v>12</v>
      </c>
      <c r="C8" s="8" t="s">
        <v>40</v>
      </c>
      <c r="D8" s="9" t="s">
        <v>41</v>
      </c>
      <c r="E8" s="7" t="s">
        <v>42</v>
      </c>
      <c r="F8" s="10"/>
      <c r="G8" s="7" t="s">
        <v>43</v>
      </c>
      <c r="H8" s="7">
        <v>400</v>
      </c>
      <c r="I8" s="7" t="s">
        <v>21</v>
      </c>
      <c r="J8" s="11">
        <f>VLOOKUP(D8,[1]Sheet2!$A$5:$E$146,5,FALSE())</f>
        <v>239.333333333333</v>
      </c>
      <c r="K8" s="7"/>
      <c r="L8" s="8">
        <v>300</v>
      </c>
      <c r="M8" s="12">
        <f>L8/H8</f>
        <v>0.75</v>
      </c>
    </row>
    <row r="9" spans="1:13" x14ac:dyDescent="0.2">
      <c r="A9" s="7" t="str">
        <f>IF(_xlfn.NUMBERVALUE(SEARCH("Alinity c",G9)),"CC","IA")</f>
        <v>CC</v>
      </c>
      <c r="B9" s="7" t="s">
        <v>12</v>
      </c>
      <c r="C9" s="8" t="s">
        <v>44</v>
      </c>
      <c r="D9" s="9" t="s">
        <v>45</v>
      </c>
      <c r="E9" s="7" t="s">
        <v>46</v>
      </c>
      <c r="F9" s="10"/>
      <c r="G9" s="7" t="s">
        <v>47</v>
      </c>
      <c r="H9" s="7">
        <v>200</v>
      </c>
      <c r="I9" s="7" t="s">
        <v>28</v>
      </c>
      <c r="J9" s="11">
        <f>VLOOKUP(D9,[1]Sheet2!$A$5:$E$146,5,FALSE())</f>
        <v>118.666666666667</v>
      </c>
      <c r="K9" s="7"/>
      <c r="L9" s="8">
        <v>150</v>
      </c>
      <c r="M9" s="12">
        <f>L9/H9</f>
        <v>0.75</v>
      </c>
    </row>
    <row r="10" spans="1:13" x14ac:dyDescent="0.2">
      <c r="A10" s="7" t="str">
        <f>IF(_xlfn.NUMBERVALUE(SEARCH("Alinity c",G10)),"CC","IA")</f>
        <v>CC</v>
      </c>
      <c r="B10" s="7" t="s">
        <v>12</v>
      </c>
      <c r="C10" s="8" t="s">
        <v>48</v>
      </c>
      <c r="D10" s="9" t="s">
        <v>49</v>
      </c>
      <c r="E10" s="7" t="s">
        <v>50</v>
      </c>
      <c r="F10" s="10"/>
      <c r="G10" s="7" t="s">
        <v>51</v>
      </c>
      <c r="H10" s="7">
        <v>200</v>
      </c>
      <c r="I10" s="7" t="s">
        <v>28</v>
      </c>
      <c r="J10" s="11">
        <f>VLOOKUP(D10,[1]Sheet2!$A$5:$E$146,5,FALSE())</f>
        <v>102</v>
      </c>
      <c r="K10" s="7"/>
      <c r="L10" s="8">
        <v>150</v>
      </c>
      <c r="M10" s="12">
        <f>L10/H10</f>
        <v>0.75</v>
      </c>
    </row>
    <row r="11" spans="1:13" x14ac:dyDescent="0.2">
      <c r="A11" s="7" t="s">
        <v>52</v>
      </c>
      <c r="B11" s="7" t="s">
        <v>12</v>
      </c>
      <c r="C11" s="8" t="s">
        <v>53</v>
      </c>
      <c r="D11" s="9" t="s">
        <v>54</v>
      </c>
      <c r="E11" s="7" t="s">
        <v>55</v>
      </c>
      <c r="F11" s="10"/>
      <c r="G11" s="7" t="s">
        <v>56</v>
      </c>
      <c r="H11" s="7">
        <v>200</v>
      </c>
      <c r="I11" s="7" t="s">
        <v>28</v>
      </c>
      <c r="J11" s="11">
        <f>VLOOKUP(D11,[1]Sheet2!$A$5:$E$146,5,FALSE())</f>
        <v>392</v>
      </c>
      <c r="K11" s="7"/>
      <c r="L11" s="8">
        <v>500</v>
      </c>
      <c r="M11" s="12">
        <f>L11/H11</f>
        <v>2.5</v>
      </c>
    </row>
    <row r="12" spans="1:13" x14ac:dyDescent="0.2">
      <c r="A12" s="7" t="str">
        <f>IF(_xlfn.NUMBERVALUE(SEARCH("Alinity c",G12)),"CC","IA")</f>
        <v>CC</v>
      </c>
      <c r="B12" s="7" t="s">
        <v>12</v>
      </c>
      <c r="C12" s="8" t="s">
        <v>57</v>
      </c>
      <c r="D12" s="9" t="s">
        <v>58</v>
      </c>
      <c r="E12" s="7" t="s">
        <v>59</v>
      </c>
      <c r="F12" s="10"/>
      <c r="G12" s="7" t="s">
        <v>60</v>
      </c>
      <c r="H12" s="7">
        <v>400</v>
      </c>
      <c r="I12" s="7" t="s">
        <v>61</v>
      </c>
      <c r="J12" s="11">
        <f>VLOOKUP(D12,[1]Sheet2!$A$5:$E$146,5,FALSE())</f>
        <v>341.66666666666703</v>
      </c>
      <c r="K12" s="7"/>
      <c r="L12" s="8">
        <v>400</v>
      </c>
      <c r="M12" s="12">
        <f>L12/H12</f>
        <v>1</v>
      </c>
    </row>
    <row r="13" spans="1:13" x14ac:dyDescent="0.2">
      <c r="A13" s="15" t="s">
        <v>52</v>
      </c>
      <c r="B13" s="15" t="s">
        <v>12</v>
      </c>
      <c r="C13" s="20" t="s">
        <v>62</v>
      </c>
      <c r="D13" s="16"/>
      <c r="E13" s="21"/>
      <c r="F13" s="21"/>
      <c r="G13" s="15"/>
      <c r="H13" s="21"/>
      <c r="I13" s="21"/>
      <c r="J13" s="22"/>
      <c r="K13" s="21"/>
      <c r="L13" s="16"/>
      <c r="M13" s="23"/>
    </row>
    <row r="14" spans="1:13" x14ac:dyDescent="0.2">
      <c r="A14" s="7" t="str">
        <f>IF(_xlfn.NUMBERVALUE(SEARCH("Alinity c",G14)),"CC","IA")</f>
        <v>CC</v>
      </c>
      <c r="B14" s="7" t="s">
        <v>12</v>
      </c>
      <c r="C14" s="8" t="s">
        <v>63</v>
      </c>
      <c r="D14" s="9" t="s">
        <v>64</v>
      </c>
      <c r="E14" s="7" t="s">
        <v>65</v>
      </c>
      <c r="F14" s="10"/>
      <c r="G14" s="7" t="s">
        <v>66</v>
      </c>
      <c r="H14" s="7">
        <v>640</v>
      </c>
      <c r="I14" s="7" t="s">
        <v>67</v>
      </c>
      <c r="J14" s="11">
        <f>VLOOKUP(D14,[1]Sheet2!$A$5:$E$146,5,FALSE())</f>
        <v>1310.3333333333301</v>
      </c>
      <c r="K14" s="7"/>
      <c r="L14" s="8">
        <v>1500</v>
      </c>
      <c r="M14" s="12">
        <f>L14/H14</f>
        <v>2.34375</v>
      </c>
    </row>
    <row r="15" spans="1:13" x14ac:dyDescent="0.2">
      <c r="A15" s="24" t="str">
        <f>IF(_xlfn.NUMBERVALUE(SEARCH("Alinity c",G15)),"CC","IA")</f>
        <v>CC</v>
      </c>
      <c r="B15" s="24" t="s">
        <v>12</v>
      </c>
      <c r="C15" s="8" t="s">
        <v>68</v>
      </c>
      <c r="D15" s="25" t="s">
        <v>69</v>
      </c>
      <c r="E15" s="24" t="s">
        <v>70</v>
      </c>
      <c r="F15" s="10"/>
      <c r="G15" s="24" t="s">
        <v>71</v>
      </c>
      <c r="H15" s="24">
        <v>200</v>
      </c>
      <c r="I15" s="24" t="s">
        <v>28</v>
      </c>
      <c r="J15" s="11">
        <f>VLOOKUP(D15,[1]Sheet2!$A$5:$E$146,5,FALSE())</f>
        <v>3134.6666666666702</v>
      </c>
      <c r="K15" s="24"/>
      <c r="L15" s="8">
        <v>3500</v>
      </c>
      <c r="M15" s="26">
        <f>L15/H15</f>
        <v>17.5</v>
      </c>
    </row>
    <row r="16" spans="1:13" x14ac:dyDescent="0.2">
      <c r="A16" s="7" t="str">
        <f>IF(_xlfn.NUMBERVALUE(SEARCH("Alinity c",G16)),"CC","IA")</f>
        <v>CC</v>
      </c>
      <c r="B16" s="7" t="s">
        <v>12</v>
      </c>
      <c r="C16" s="8" t="s">
        <v>72</v>
      </c>
      <c r="D16" s="9" t="s">
        <v>73</v>
      </c>
      <c r="E16" s="7" t="s">
        <v>74</v>
      </c>
      <c r="F16" s="10"/>
      <c r="G16" s="7" t="s">
        <v>75</v>
      </c>
      <c r="H16" s="7">
        <v>200</v>
      </c>
      <c r="I16" s="7" t="s">
        <v>28</v>
      </c>
      <c r="J16" s="11">
        <f>VLOOKUP(D16,[1]Sheet2!$A$5:$E$146,5,FALSE())</f>
        <v>302</v>
      </c>
      <c r="K16" s="7"/>
      <c r="L16" s="8">
        <v>400</v>
      </c>
      <c r="M16" s="12">
        <f>L16/H16</f>
        <v>2</v>
      </c>
    </row>
    <row r="17" spans="1:13" s="31" customFormat="1" x14ac:dyDescent="0.2">
      <c r="A17" s="27" t="s">
        <v>52</v>
      </c>
      <c r="B17" s="27" t="s">
        <v>12</v>
      </c>
      <c r="C17" s="1" t="s">
        <v>76</v>
      </c>
      <c r="D17" s="28" t="s">
        <v>77</v>
      </c>
      <c r="E17" s="29" t="s">
        <v>78</v>
      </c>
      <c r="F17" s="27" t="s">
        <v>79</v>
      </c>
      <c r="G17" s="27" t="s">
        <v>80</v>
      </c>
      <c r="H17" s="27">
        <v>1000</v>
      </c>
      <c r="I17" s="27" t="s">
        <v>81</v>
      </c>
      <c r="J17" s="11">
        <f>VLOOKUP(D17,[1]Sheet2!$A$5:$E$146,5,FALSE())</f>
        <v>1598.3333333333301</v>
      </c>
      <c r="K17" s="27"/>
      <c r="L17" s="13">
        <v>2000</v>
      </c>
      <c r="M17" s="30">
        <f>L17/H17</f>
        <v>2</v>
      </c>
    </row>
    <row r="18" spans="1:13" x14ac:dyDescent="0.2">
      <c r="A18" s="7" t="s">
        <v>52</v>
      </c>
      <c r="B18" s="7" t="s">
        <v>12</v>
      </c>
      <c r="C18" s="1"/>
      <c r="D18" s="16"/>
      <c r="E18" s="16"/>
      <c r="F18" s="16"/>
      <c r="G18" s="15" t="s">
        <v>82</v>
      </c>
      <c r="H18" s="15">
        <v>200</v>
      </c>
      <c r="I18" s="15" t="s">
        <v>28</v>
      </c>
      <c r="J18" s="32"/>
      <c r="K18" s="15"/>
      <c r="L18" s="16"/>
      <c r="M18" s="23"/>
    </row>
    <row r="19" spans="1:13" x14ac:dyDescent="0.2">
      <c r="A19" s="24" t="s">
        <v>52</v>
      </c>
      <c r="B19" s="24" t="s">
        <v>12</v>
      </c>
      <c r="C19" s="8" t="s">
        <v>83</v>
      </c>
      <c r="D19" s="25" t="s">
        <v>84</v>
      </c>
      <c r="E19" s="24" t="s">
        <v>85</v>
      </c>
      <c r="F19" s="10"/>
      <c r="G19" s="24" t="s">
        <v>86</v>
      </c>
      <c r="H19" s="24">
        <v>200</v>
      </c>
      <c r="I19" s="24" t="s">
        <v>28</v>
      </c>
      <c r="J19" s="11">
        <f>VLOOKUP(D19,[1]Sheet2!$A$5:$E$146,5,FALSE())</f>
        <v>767.33333333333303</v>
      </c>
      <c r="K19" s="24"/>
      <c r="L19" s="8">
        <v>900</v>
      </c>
      <c r="M19" s="26">
        <f>L19/H19</f>
        <v>4.5</v>
      </c>
    </row>
    <row r="20" spans="1:13" x14ac:dyDescent="0.2">
      <c r="A20" s="24" t="s">
        <v>52</v>
      </c>
      <c r="B20" s="24" t="s">
        <v>12</v>
      </c>
      <c r="C20" s="8" t="s">
        <v>87</v>
      </c>
      <c r="D20" s="25" t="s">
        <v>88</v>
      </c>
      <c r="E20" s="24" t="s">
        <v>89</v>
      </c>
      <c r="F20" s="10"/>
      <c r="G20" s="24" t="s">
        <v>90</v>
      </c>
      <c r="H20" s="24">
        <v>200</v>
      </c>
      <c r="I20" s="24" t="s">
        <v>28</v>
      </c>
      <c r="J20" s="11">
        <f>VLOOKUP(D20,[1]Sheet2!$A$5:$E$146,5,FALSE())</f>
        <v>730.33333333333303</v>
      </c>
      <c r="K20" s="24"/>
      <c r="L20" s="8">
        <v>900</v>
      </c>
      <c r="M20" s="26">
        <f>L20/H20</f>
        <v>4.5</v>
      </c>
    </row>
    <row r="21" spans="1:13" x14ac:dyDescent="0.2">
      <c r="A21" s="7" t="str">
        <f>IF(_xlfn.NUMBERVALUE(SEARCH("Alinity c",G21)),"CC","IA")</f>
        <v>CC</v>
      </c>
      <c r="B21" s="7" t="s">
        <v>12</v>
      </c>
      <c r="C21" s="8" t="s">
        <v>91</v>
      </c>
      <c r="D21" s="9" t="s">
        <v>92</v>
      </c>
      <c r="E21" s="7" t="s">
        <v>93</v>
      </c>
      <c r="F21" s="10"/>
      <c r="G21" s="7" t="s">
        <v>94</v>
      </c>
      <c r="H21" s="7">
        <v>190</v>
      </c>
      <c r="I21" s="7" t="s">
        <v>95</v>
      </c>
      <c r="J21" s="11">
        <f>VLOOKUP(D21,[1]Sheet2!$A$5:$E$146,5,FALSE())</f>
        <v>130.666666666667</v>
      </c>
      <c r="K21" s="7"/>
      <c r="L21" s="8">
        <v>150</v>
      </c>
      <c r="M21" s="12">
        <f>L21/H21</f>
        <v>0.78947368421052633</v>
      </c>
    </row>
    <row r="22" spans="1:13" x14ac:dyDescent="0.2">
      <c r="A22" s="7" t="str">
        <f>IF(_xlfn.NUMBERVALUE(SEARCH("Alinity c",G22)),"CC","IA")</f>
        <v>CC</v>
      </c>
      <c r="B22" s="7" t="s">
        <v>12</v>
      </c>
      <c r="C22" s="8" t="s">
        <v>96</v>
      </c>
      <c r="D22" s="9" t="s">
        <v>97</v>
      </c>
      <c r="E22" s="7" t="s">
        <v>98</v>
      </c>
      <c r="F22" s="10"/>
      <c r="G22" s="7" t="s">
        <v>99</v>
      </c>
      <c r="H22" s="7">
        <v>190</v>
      </c>
      <c r="I22" s="7" t="s">
        <v>95</v>
      </c>
      <c r="J22" s="11">
        <f>VLOOKUP(D22,[1]Sheet2!$A$5:$E$146,5,FALSE())</f>
        <v>196.666666666667</v>
      </c>
      <c r="K22" s="7"/>
      <c r="L22" s="8">
        <v>200</v>
      </c>
      <c r="M22" s="12">
        <f>L22/H22</f>
        <v>1.0526315789473684</v>
      </c>
    </row>
    <row r="23" spans="1:13" x14ac:dyDescent="0.2">
      <c r="A23" s="7" t="str">
        <f>IF(_xlfn.NUMBERVALUE(SEARCH("Alinity c",G23)),"CC","IA")</f>
        <v>CC</v>
      </c>
      <c r="B23" s="7" t="s">
        <v>12</v>
      </c>
      <c r="C23" s="8" t="s">
        <v>100</v>
      </c>
      <c r="D23" s="9" t="s">
        <v>101</v>
      </c>
      <c r="E23" s="7" t="s">
        <v>102</v>
      </c>
      <c r="F23" s="10"/>
      <c r="G23" s="7" t="s">
        <v>103</v>
      </c>
      <c r="H23" s="7">
        <v>180</v>
      </c>
      <c r="I23" s="7" t="s">
        <v>104</v>
      </c>
      <c r="J23" s="11">
        <f>VLOOKUP(D23,[1]Sheet2!$A$5:$E$146,5,FALSE())</f>
        <v>149</v>
      </c>
      <c r="K23" s="7"/>
      <c r="L23" s="8">
        <v>200</v>
      </c>
      <c r="M23" s="12">
        <f>L23/H23</f>
        <v>1.1111111111111112</v>
      </c>
    </row>
    <row r="24" spans="1:13" x14ac:dyDescent="0.2">
      <c r="A24" s="7" t="str">
        <f>IF(_xlfn.NUMBERVALUE(SEARCH("Alinity c",G24)),"CC","IA")</f>
        <v>CC</v>
      </c>
      <c r="B24" s="7" t="s">
        <v>12</v>
      </c>
      <c r="C24" s="2" t="s">
        <v>105</v>
      </c>
      <c r="D24" s="9" t="s">
        <v>106</v>
      </c>
      <c r="E24" s="7" t="s">
        <v>107</v>
      </c>
      <c r="F24" s="10"/>
      <c r="G24" s="7" t="s">
        <v>108</v>
      </c>
      <c r="H24" s="7">
        <v>13000</v>
      </c>
      <c r="I24" s="7" t="s">
        <v>109</v>
      </c>
      <c r="J24" s="11">
        <v>13800</v>
      </c>
      <c r="K24" s="7"/>
      <c r="L24" s="8">
        <v>15000</v>
      </c>
      <c r="M24" s="12">
        <f>L24/H24</f>
        <v>1.1538461538461537</v>
      </c>
    </row>
    <row r="25" spans="1:13" x14ac:dyDescent="0.2">
      <c r="A25" s="7" t="str">
        <f>IF(_xlfn.NUMBERVALUE(SEARCH("Alinity c",G25)),"CC","IA")</f>
        <v>CC</v>
      </c>
      <c r="B25" s="7" t="s">
        <v>12</v>
      </c>
      <c r="C25" s="2"/>
      <c r="D25" s="16"/>
      <c r="E25" s="16"/>
      <c r="F25" s="16"/>
      <c r="G25" s="15" t="s">
        <v>108</v>
      </c>
      <c r="H25" s="15">
        <v>4000</v>
      </c>
      <c r="I25" s="15" t="s">
        <v>110</v>
      </c>
      <c r="J25" s="32"/>
      <c r="K25" s="15"/>
      <c r="L25" s="16"/>
      <c r="M25" s="23"/>
    </row>
    <row r="26" spans="1:13" x14ac:dyDescent="0.2">
      <c r="A26" s="7" t="str">
        <f>IF(_xlfn.NUMBERVALUE(SEARCH("Alinity c",G26)),"CC","IA")</f>
        <v>CC</v>
      </c>
      <c r="B26" s="7" t="s">
        <v>12</v>
      </c>
      <c r="C26" s="8" t="s">
        <v>111</v>
      </c>
      <c r="D26" s="9" t="s">
        <v>112</v>
      </c>
      <c r="E26" s="7" t="s">
        <v>113</v>
      </c>
      <c r="F26" s="10"/>
      <c r="G26" s="7" t="s">
        <v>114</v>
      </c>
      <c r="H26" s="7">
        <v>500</v>
      </c>
      <c r="I26" s="7" t="s">
        <v>115</v>
      </c>
      <c r="J26" s="11">
        <f>VLOOKUP(D26,[1]Sheet2!$A$5:$E$146,5,FALSE())</f>
        <v>420</v>
      </c>
      <c r="K26" s="7"/>
      <c r="L26" s="8">
        <v>500</v>
      </c>
      <c r="M26" s="12">
        <f>L26/H26</f>
        <v>1</v>
      </c>
    </row>
    <row r="27" spans="1:13" x14ac:dyDescent="0.2">
      <c r="A27" s="7" t="s">
        <v>52</v>
      </c>
      <c r="B27" s="7" t="s">
        <v>12</v>
      </c>
      <c r="C27" s="8" t="s">
        <v>116</v>
      </c>
      <c r="D27" s="25" t="s">
        <v>117</v>
      </c>
      <c r="E27" s="7" t="s">
        <v>118</v>
      </c>
      <c r="F27" s="10"/>
      <c r="G27" s="7" t="s">
        <v>119</v>
      </c>
      <c r="H27" s="7">
        <v>200</v>
      </c>
      <c r="I27" s="7" t="s">
        <v>28</v>
      </c>
      <c r="J27" s="11">
        <f>VLOOKUP(D27,[1]Sheet2!$A$5:$E$146,5,FALSE())</f>
        <v>515.66666666666697</v>
      </c>
      <c r="K27" s="7"/>
      <c r="L27" s="8">
        <v>600</v>
      </c>
      <c r="M27" s="12">
        <f>L27/H27</f>
        <v>3</v>
      </c>
    </row>
    <row r="28" spans="1:13" x14ac:dyDescent="0.2">
      <c r="A28" s="7" t="str">
        <f>IF(_xlfn.NUMBERVALUE(SEARCH("Alinity c",G28)),"CC","IA")</f>
        <v>CC</v>
      </c>
      <c r="B28" s="7" t="s">
        <v>12</v>
      </c>
      <c r="C28" s="8" t="s">
        <v>120</v>
      </c>
      <c r="D28" s="9" t="s">
        <v>121</v>
      </c>
      <c r="E28" s="7" t="s">
        <v>122</v>
      </c>
      <c r="F28" s="10"/>
      <c r="G28" s="7" t="s">
        <v>123</v>
      </c>
      <c r="H28" s="7">
        <v>200</v>
      </c>
      <c r="I28" s="7" t="s">
        <v>28</v>
      </c>
      <c r="J28" s="11">
        <f>VLOOKUP(D28,[1]Sheet2!$A$5:$E$146,5,FALSE())</f>
        <v>290.33333333333297</v>
      </c>
      <c r="K28" s="7"/>
      <c r="L28" s="8">
        <v>400</v>
      </c>
      <c r="M28" s="12">
        <f>L28/H28</f>
        <v>2</v>
      </c>
    </row>
    <row r="29" spans="1:13" x14ac:dyDescent="0.2">
      <c r="A29" s="24" t="str">
        <f>IF(_xlfn.NUMBERVALUE(SEARCH("Alinity c",G29)),"CC","IA")</f>
        <v>CC</v>
      </c>
      <c r="B29" s="24" t="s">
        <v>12</v>
      </c>
      <c r="C29" s="8" t="s">
        <v>124</v>
      </c>
      <c r="D29" s="25" t="s">
        <v>125</v>
      </c>
      <c r="E29" s="24" t="s">
        <v>126</v>
      </c>
      <c r="F29" s="10"/>
      <c r="G29" s="24" t="s">
        <v>127</v>
      </c>
      <c r="H29" s="24">
        <v>1440</v>
      </c>
      <c r="I29" s="24" t="s">
        <v>128</v>
      </c>
      <c r="J29" s="11">
        <f>VLOOKUP(D29,[1]Sheet2!$A$5:$E$146,5,FALSE())</f>
        <v>9057.3333333333303</v>
      </c>
      <c r="K29" s="24"/>
      <c r="L29" s="8">
        <v>10000</v>
      </c>
      <c r="M29" s="26">
        <f>L29/H29</f>
        <v>6.9444444444444446</v>
      </c>
    </row>
    <row r="30" spans="1:13" x14ac:dyDescent="0.2">
      <c r="A30" s="7" t="str">
        <f>IF(_xlfn.NUMBERVALUE(SEARCH("Alinity c",G30)),"CC","IA")</f>
        <v>CC</v>
      </c>
      <c r="B30" s="7" t="s">
        <v>12</v>
      </c>
      <c r="C30" s="8" t="s">
        <v>129</v>
      </c>
      <c r="D30" s="9" t="s">
        <v>130</v>
      </c>
      <c r="E30" s="7" t="s">
        <v>131</v>
      </c>
      <c r="F30" s="10"/>
      <c r="G30" s="7" t="s">
        <v>132</v>
      </c>
      <c r="H30" s="7">
        <v>3500</v>
      </c>
      <c r="I30" s="7" t="s">
        <v>133</v>
      </c>
      <c r="J30" s="11">
        <f>VLOOKUP(D30,[1]Sheet2!$A$5:$E$146,5,FALSE())</f>
        <v>9183.3333333333303</v>
      </c>
      <c r="K30" s="7"/>
      <c r="L30" s="8">
        <v>10000</v>
      </c>
      <c r="M30" s="12">
        <f>L30/H30</f>
        <v>2.8571428571428572</v>
      </c>
    </row>
    <row r="31" spans="1:13" x14ac:dyDescent="0.2">
      <c r="A31" s="7" t="s">
        <v>52</v>
      </c>
      <c r="B31" s="7" t="s">
        <v>12</v>
      </c>
      <c r="C31" s="2" t="s">
        <v>134</v>
      </c>
      <c r="D31" s="9" t="s">
        <v>135</v>
      </c>
      <c r="E31" s="7" t="s">
        <v>136</v>
      </c>
      <c r="F31" s="10"/>
      <c r="G31" s="7" t="s">
        <v>137</v>
      </c>
      <c r="H31" s="7">
        <v>1000</v>
      </c>
      <c r="I31" s="7" t="s">
        <v>81</v>
      </c>
      <c r="J31" s="11">
        <f>VLOOKUP(D31,[1]Sheet2!$A$5:$E$146,5,FALSE())</f>
        <v>1566.6666666666699</v>
      </c>
      <c r="K31" s="7"/>
      <c r="L31" s="8">
        <v>1800</v>
      </c>
      <c r="M31" s="12">
        <f>L31/H31</f>
        <v>1.8</v>
      </c>
    </row>
    <row r="32" spans="1:13" x14ac:dyDescent="0.2">
      <c r="A32" s="7" t="s">
        <v>52</v>
      </c>
      <c r="B32" s="7" t="s">
        <v>12</v>
      </c>
      <c r="C32" s="2"/>
      <c r="D32" s="16"/>
      <c r="E32" s="16"/>
      <c r="F32" s="16"/>
      <c r="G32" s="15" t="s">
        <v>137</v>
      </c>
      <c r="H32" s="15">
        <v>200</v>
      </c>
      <c r="I32" s="15" t="s">
        <v>28</v>
      </c>
      <c r="J32" s="32"/>
      <c r="K32" s="15"/>
      <c r="L32" s="16"/>
      <c r="M32" s="23"/>
    </row>
    <row r="33" spans="1:13" x14ac:dyDescent="0.2">
      <c r="A33" s="7" t="str">
        <f>IF(_xlfn.NUMBERVALUE(SEARCH("Alinity c",G33)),"CC","IA")</f>
        <v>CC</v>
      </c>
      <c r="B33" s="7" t="s">
        <v>12</v>
      </c>
      <c r="C33" s="8" t="s">
        <v>138</v>
      </c>
      <c r="D33" s="9" t="s">
        <v>139</v>
      </c>
      <c r="E33" s="7" t="s">
        <v>140</v>
      </c>
      <c r="F33" s="10"/>
      <c r="G33" s="7" t="s">
        <v>141</v>
      </c>
      <c r="H33" s="7">
        <v>200</v>
      </c>
      <c r="I33" s="7" t="s">
        <v>142</v>
      </c>
      <c r="J33" s="11">
        <f>VLOOKUP(D33,[1]Sheet2!$A$5:$E$146,5,FALSE())</f>
        <v>210.666666666667</v>
      </c>
      <c r="K33" s="7"/>
      <c r="L33" s="8">
        <v>300</v>
      </c>
      <c r="M33" s="12">
        <f>L33/H33</f>
        <v>1.5</v>
      </c>
    </row>
    <row r="34" spans="1:13" x14ac:dyDescent="0.2">
      <c r="A34" s="7" t="s">
        <v>52</v>
      </c>
      <c r="B34" s="7" t="s">
        <v>12</v>
      </c>
      <c r="C34" s="8" t="s">
        <v>143</v>
      </c>
      <c r="D34" s="9" t="s">
        <v>144</v>
      </c>
      <c r="E34" s="7" t="s">
        <v>145</v>
      </c>
      <c r="F34" s="10"/>
      <c r="G34" s="7" t="s">
        <v>146</v>
      </c>
      <c r="H34" s="7">
        <v>200</v>
      </c>
      <c r="I34" s="7" t="s">
        <v>28</v>
      </c>
      <c r="J34" s="11">
        <f>VLOOKUP(D34,[1]Sheet2!$A$5:$E$146,5,FALSE())</f>
        <v>151.666666666667</v>
      </c>
      <c r="K34" s="7"/>
      <c r="L34" s="8">
        <v>150</v>
      </c>
      <c r="M34" s="12">
        <f>L34/H34</f>
        <v>0.75</v>
      </c>
    </row>
    <row r="35" spans="1:13" x14ac:dyDescent="0.2">
      <c r="A35" s="7" t="s">
        <v>52</v>
      </c>
      <c r="B35" s="7" t="s">
        <v>12</v>
      </c>
      <c r="C35" s="8" t="s">
        <v>147</v>
      </c>
      <c r="D35" s="9" t="s">
        <v>148</v>
      </c>
      <c r="E35" s="7" t="s">
        <v>149</v>
      </c>
      <c r="F35" s="10"/>
      <c r="G35" s="7" t="s">
        <v>150</v>
      </c>
      <c r="H35" s="7">
        <v>200</v>
      </c>
      <c r="I35" s="7" t="s">
        <v>28</v>
      </c>
      <c r="J35" s="11">
        <f>VLOOKUP(D35,[1]Sheet2!$A$5:$E$146,5,FALSE())</f>
        <v>441.66666666666703</v>
      </c>
      <c r="K35" s="7"/>
      <c r="L35" s="8">
        <v>600</v>
      </c>
      <c r="M35" s="12">
        <f>L35/H35</f>
        <v>3</v>
      </c>
    </row>
    <row r="36" spans="1:13" x14ac:dyDescent="0.2">
      <c r="A36" s="7" t="s">
        <v>52</v>
      </c>
      <c r="B36" s="7" t="s">
        <v>12</v>
      </c>
      <c r="C36" s="8" t="s">
        <v>151</v>
      </c>
      <c r="D36" s="9" t="s">
        <v>152</v>
      </c>
      <c r="E36" s="7" t="s">
        <v>153</v>
      </c>
      <c r="F36" s="10"/>
      <c r="G36" s="7" t="s">
        <v>154</v>
      </c>
      <c r="H36" s="7">
        <v>200</v>
      </c>
      <c r="I36" s="7" t="s">
        <v>28</v>
      </c>
      <c r="J36" s="11">
        <f>VLOOKUP(D36,[1]Sheet2!$A$5:$E$146,5,FALSE())</f>
        <v>491.66666666666703</v>
      </c>
      <c r="K36" s="7"/>
      <c r="L36" s="8">
        <v>600</v>
      </c>
      <c r="M36" s="12">
        <f>L36/H36</f>
        <v>3</v>
      </c>
    </row>
    <row r="37" spans="1:13" x14ac:dyDescent="0.2">
      <c r="A37" s="7" t="s">
        <v>52</v>
      </c>
      <c r="B37" s="7" t="s">
        <v>12</v>
      </c>
      <c r="C37" s="8" t="s">
        <v>155</v>
      </c>
      <c r="D37" s="9" t="s">
        <v>156</v>
      </c>
      <c r="E37" s="7" t="s">
        <v>157</v>
      </c>
      <c r="F37" s="10"/>
      <c r="G37" s="7" t="s">
        <v>158</v>
      </c>
      <c r="H37" s="7">
        <v>1000</v>
      </c>
      <c r="I37" s="7" t="s">
        <v>81</v>
      </c>
      <c r="J37" s="11">
        <f>VLOOKUP(D37,[1]Sheet2!$A$5:$E$146,5,FALSE())</f>
        <v>480.33333333333297</v>
      </c>
      <c r="K37" s="7"/>
      <c r="L37" s="8">
        <v>600</v>
      </c>
      <c r="M37" s="12">
        <f>L37/H37</f>
        <v>0.6</v>
      </c>
    </row>
    <row r="38" spans="1:13" x14ac:dyDescent="0.2">
      <c r="A38" s="7" t="str">
        <f>IF(_xlfn.NUMBERVALUE(SEARCH("Alinity c",G38)),"CC","IA")</f>
        <v>CC</v>
      </c>
      <c r="B38" s="7" t="s">
        <v>12</v>
      </c>
      <c r="C38" s="2" t="s">
        <v>159</v>
      </c>
      <c r="D38" s="33" t="s">
        <v>160</v>
      </c>
      <c r="E38" s="7" t="s">
        <v>161</v>
      </c>
      <c r="F38" s="10"/>
      <c r="G38" s="7" t="s">
        <v>162</v>
      </c>
      <c r="H38" s="7">
        <v>5160</v>
      </c>
      <c r="I38" s="7" t="s">
        <v>163</v>
      </c>
      <c r="J38" s="11" t="e">
        <f>VLOOKUP(D38,[1]Sheet2!$A$5:$E$146,5,FALSE())</f>
        <v>#N/A</v>
      </c>
      <c r="K38" s="7"/>
      <c r="L38" s="8">
        <v>10000</v>
      </c>
      <c r="M38" s="12">
        <f>L38/H38</f>
        <v>1.9379844961240309</v>
      </c>
    </row>
    <row r="39" spans="1:13" x14ac:dyDescent="0.2">
      <c r="A39" s="7" t="str">
        <f>IF(_xlfn.NUMBERVALUE(SEARCH("Alinity c",G39)),"CC","IA")</f>
        <v>CC</v>
      </c>
      <c r="B39" s="7" t="s">
        <v>12</v>
      </c>
      <c r="C39" s="2"/>
      <c r="D39" s="16"/>
      <c r="E39" s="16"/>
      <c r="F39" s="16"/>
      <c r="G39" s="15" t="s">
        <v>162</v>
      </c>
      <c r="H39" s="15">
        <v>1560</v>
      </c>
      <c r="I39" s="15" t="s">
        <v>164</v>
      </c>
      <c r="J39" s="32"/>
      <c r="K39" s="15"/>
      <c r="L39" s="16"/>
      <c r="M39" s="23"/>
    </row>
    <row r="40" spans="1:13" x14ac:dyDescent="0.2">
      <c r="A40" s="7" t="str">
        <f>IF(_xlfn.NUMBERVALUE(SEARCH("Alinity c",G40)),"CC","IA")</f>
        <v>CC</v>
      </c>
      <c r="B40" s="7" t="s">
        <v>12</v>
      </c>
      <c r="C40" s="8" t="s">
        <v>165</v>
      </c>
      <c r="D40" s="9" t="s">
        <v>166</v>
      </c>
      <c r="E40" s="7" t="s">
        <v>167</v>
      </c>
      <c r="F40" s="10"/>
      <c r="G40" s="7" t="s">
        <v>168</v>
      </c>
      <c r="H40" s="7">
        <v>400</v>
      </c>
      <c r="I40" s="7" t="s">
        <v>61</v>
      </c>
      <c r="J40" s="11">
        <f>VLOOKUP(D40,[1]Sheet2!$A$5:$E$146,5,FALSE())</f>
        <v>776</v>
      </c>
      <c r="K40" s="7"/>
      <c r="L40" s="8">
        <v>800</v>
      </c>
      <c r="M40" s="12">
        <f>L40/H40</f>
        <v>2</v>
      </c>
    </row>
    <row r="41" spans="1:13" x14ac:dyDescent="0.2">
      <c r="A41" s="7" t="str">
        <f>IF(_xlfn.NUMBERVALUE(SEARCH("Alinity c",G41)),"CC","IA")</f>
        <v>CC</v>
      </c>
      <c r="B41" s="7" t="s">
        <v>12</v>
      </c>
      <c r="C41" s="8" t="s">
        <v>169</v>
      </c>
      <c r="D41" s="9" t="s">
        <v>170</v>
      </c>
      <c r="E41" s="7" t="s">
        <v>171</v>
      </c>
      <c r="F41" s="10"/>
      <c r="G41" s="7" t="s">
        <v>172</v>
      </c>
      <c r="H41" s="7">
        <v>400</v>
      </c>
      <c r="I41" s="7" t="s">
        <v>21</v>
      </c>
      <c r="J41" s="11">
        <f>VLOOKUP(D41,[1]Sheet2!$A$5:$E$146,5,FALSE())</f>
        <v>166.666666666667</v>
      </c>
      <c r="K41" s="7"/>
      <c r="L41" s="8">
        <v>200</v>
      </c>
      <c r="M41" s="12">
        <f>L41/H41</f>
        <v>0.5</v>
      </c>
    </row>
    <row r="42" spans="1:13" x14ac:dyDescent="0.2">
      <c r="A42" s="24" t="s">
        <v>52</v>
      </c>
      <c r="B42" s="24" t="s">
        <v>12</v>
      </c>
      <c r="C42" s="8" t="s">
        <v>173</v>
      </c>
      <c r="D42" s="25" t="s">
        <v>173</v>
      </c>
      <c r="E42" s="24" t="s">
        <v>174</v>
      </c>
      <c r="F42" s="10"/>
      <c r="G42" s="24" t="s">
        <v>175</v>
      </c>
      <c r="H42" s="24">
        <v>200</v>
      </c>
      <c r="I42" s="24" t="s">
        <v>28</v>
      </c>
      <c r="J42" s="11">
        <f>VLOOKUP(D42,[1]Sheet2!$A$5:$E$146,5,FALSE())</f>
        <v>789.33333333333303</v>
      </c>
      <c r="K42" s="24"/>
      <c r="L42" s="8">
        <v>900</v>
      </c>
      <c r="M42" s="26">
        <f>L42/H42</f>
        <v>4.5</v>
      </c>
    </row>
    <row r="43" spans="1:13" x14ac:dyDescent="0.2">
      <c r="A43" s="7" t="str">
        <f>IF(_xlfn.NUMBERVALUE(SEARCH("Alinity c",G43)),"CC","IA")</f>
        <v>CC</v>
      </c>
      <c r="B43" s="7" t="s">
        <v>12</v>
      </c>
      <c r="C43" s="8" t="s">
        <v>176</v>
      </c>
      <c r="D43" s="9" t="s">
        <v>177</v>
      </c>
      <c r="E43" s="7" t="s">
        <v>178</v>
      </c>
      <c r="F43" s="10"/>
      <c r="G43" s="7" t="s">
        <v>179</v>
      </c>
      <c r="H43" s="7">
        <v>200</v>
      </c>
      <c r="I43" s="7" t="s">
        <v>28</v>
      </c>
      <c r="J43" s="11">
        <f>VLOOKUP(D43,[1]Sheet2!$A$5:$E$146,5,FALSE())</f>
        <v>133.333333333333</v>
      </c>
      <c r="K43" s="7"/>
      <c r="L43" s="8">
        <v>200</v>
      </c>
      <c r="M43" s="12">
        <f>L43/H43</f>
        <v>1</v>
      </c>
    </row>
    <row r="44" spans="1:13" x14ac:dyDescent="0.2">
      <c r="A44" s="7" t="s">
        <v>52</v>
      </c>
      <c r="B44" s="7" t="s">
        <v>12</v>
      </c>
      <c r="C44" s="8" t="s">
        <v>180</v>
      </c>
      <c r="D44" s="9" t="s">
        <v>181</v>
      </c>
      <c r="E44" s="7" t="s">
        <v>182</v>
      </c>
      <c r="F44" s="10"/>
      <c r="G44" s="7" t="s">
        <v>183</v>
      </c>
      <c r="H44" s="7">
        <v>200</v>
      </c>
      <c r="I44" s="7" t="s">
        <v>28</v>
      </c>
      <c r="J44" s="11">
        <f>VLOOKUP(D44,[1]Sheet2!$A$5:$E$146,5,FALSE())</f>
        <v>55</v>
      </c>
      <c r="K44" s="7"/>
      <c r="L44" s="8">
        <v>100</v>
      </c>
      <c r="M44" s="12">
        <f>L44/H44</f>
        <v>0.5</v>
      </c>
    </row>
    <row r="45" spans="1:13" x14ac:dyDescent="0.2">
      <c r="A45" s="34" t="s">
        <v>184</v>
      </c>
      <c r="B45" s="34" t="s">
        <v>12</v>
      </c>
      <c r="C45" s="2" t="s">
        <v>185</v>
      </c>
      <c r="D45" s="36"/>
      <c r="E45" s="34" t="s">
        <v>186</v>
      </c>
      <c r="F45" s="10"/>
      <c r="G45" s="34" t="s">
        <v>187</v>
      </c>
      <c r="H45" s="34">
        <v>200</v>
      </c>
      <c r="I45" s="34" t="s">
        <v>188</v>
      </c>
      <c r="J45" s="11"/>
      <c r="K45" s="37"/>
      <c r="L45" s="38"/>
      <c r="M45" s="12"/>
    </row>
    <row r="46" spans="1:13" x14ac:dyDescent="0.2">
      <c r="A46" s="34" t="s">
        <v>184</v>
      </c>
      <c r="B46" s="34" t="s">
        <v>12</v>
      </c>
      <c r="C46" s="2"/>
      <c r="D46" s="39"/>
      <c r="E46" s="34" t="s">
        <v>189</v>
      </c>
      <c r="F46" s="10"/>
      <c r="G46" s="34" t="s">
        <v>190</v>
      </c>
      <c r="H46" s="34">
        <v>500</v>
      </c>
      <c r="I46" s="34" t="s">
        <v>191</v>
      </c>
      <c r="J46" s="40" t="s">
        <v>23</v>
      </c>
      <c r="K46" s="37"/>
      <c r="L46" s="8">
        <v>500</v>
      </c>
      <c r="M46" s="12">
        <f>L46/H46</f>
        <v>1</v>
      </c>
    </row>
    <row r="47" spans="1:13" x14ac:dyDescent="0.2">
      <c r="A47" s="7" t="s">
        <v>52</v>
      </c>
      <c r="B47" s="7" t="s">
        <v>12</v>
      </c>
      <c r="C47" s="2" t="s">
        <v>192</v>
      </c>
      <c r="D47" s="9" t="s">
        <v>193</v>
      </c>
      <c r="E47" s="7" t="s">
        <v>194</v>
      </c>
      <c r="F47" s="10"/>
      <c r="G47" s="7" t="s">
        <v>195</v>
      </c>
      <c r="H47" s="7">
        <v>1000</v>
      </c>
      <c r="I47" s="7" t="s">
        <v>81</v>
      </c>
      <c r="J47" s="11">
        <f>VLOOKUP(D47,[1]Sheet2!$A$5:$E$146,5,FALSE())</f>
        <v>1431.3333333333301</v>
      </c>
      <c r="K47" s="7"/>
      <c r="L47" s="8">
        <v>1600</v>
      </c>
      <c r="M47" s="12">
        <f>L47/H47</f>
        <v>1.6</v>
      </c>
    </row>
    <row r="48" spans="1:13" x14ac:dyDescent="0.2">
      <c r="A48" s="7" t="s">
        <v>52</v>
      </c>
      <c r="B48" s="7" t="s">
        <v>12</v>
      </c>
      <c r="C48" s="2"/>
      <c r="D48" s="15"/>
      <c r="E48" s="15"/>
      <c r="F48" s="15"/>
      <c r="G48" s="15" t="s">
        <v>195</v>
      </c>
      <c r="H48" s="15">
        <v>200</v>
      </c>
      <c r="I48" s="15" t="s">
        <v>28</v>
      </c>
      <c r="J48" s="17"/>
      <c r="K48" s="15"/>
      <c r="L48" s="18"/>
      <c r="M48" s="19"/>
    </row>
    <row r="49" spans="1:13" x14ac:dyDescent="0.2">
      <c r="A49" s="24" t="str">
        <f>IF(_xlfn.NUMBERVALUE(SEARCH("Alinity c",G49)),"CC","IA")</f>
        <v>CC</v>
      </c>
      <c r="B49" s="24" t="s">
        <v>12</v>
      </c>
      <c r="C49" s="41" t="s">
        <v>196</v>
      </c>
      <c r="D49" s="41"/>
      <c r="E49" s="24" t="s">
        <v>197</v>
      </c>
      <c r="F49" s="42"/>
      <c r="G49" s="24" t="s">
        <v>198</v>
      </c>
      <c r="H49" s="24" t="s">
        <v>199</v>
      </c>
      <c r="I49" s="24">
        <v>60000</v>
      </c>
      <c r="J49" s="11" t="e">
        <f>VLOOKUP(D49,[1]Sheet2!$A$5:$E$146,5,FALSE())</f>
        <v>#N/A</v>
      </c>
      <c r="K49" s="24"/>
      <c r="L49" s="8">
        <f>6700+11700+11800</f>
        <v>30200</v>
      </c>
      <c r="M49" s="12">
        <v>0.5</v>
      </c>
    </row>
    <row r="50" spans="1:13" x14ac:dyDescent="0.2">
      <c r="A50" s="7" t="str">
        <f>IF(_xlfn.NUMBERVALUE(SEARCH("Alinity c",G50)),"CC","IA")</f>
        <v>CC</v>
      </c>
      <c r="B50" s="7" t="s">
        <v>12</v>
      </c>
      <c r="C50" s="8" t="s">
        <v>200</v>
      </c>
      <c r="D50" s="9" t="s">
        <v>201</v>
      </c>
      <c r="E50" s="7" t="s">
        <v>202</v>
      </c>
      <c r="F50" s="10"/>
      <c r="G50" s="7" t="s">
        <v>203</v>
      </c>
      <c r="H50" s="7">
        <v>500</v>
      </c>
      <c r="I50" s="7" t="s">
        <v>115</v>
      </c>
      <c r="J50" s="11">
        <f>VLOOKUP(D50,[1]Sheet2!$A$5:$E$146,5,FALSE())</f>
        <v>804</v>
      </c>
      <c r="K50" s="7"/>
      <c r="L50" s="8">
        <v>1000</v>
      </c>
      <c r="M50" s="12">
        <f>L50/H50</f>
        <v>2</v>
      </c>
    </row>
    <row r="51" spans="1:13" x14ac:dyDescent="0.2">
      <c r="A51" s="24" t="str">
        <f>IF(_xlfn.NUMBERVALUE(SEARCH("Alinity c",G51)),"CC","IA")</f>
        <v>CC</v>
      </c>
      <c r="B51" s="24" t="s">
        <v>12</v>
      </c>
      <c r="C51" s="2" t="s">
        <v>204</v>
      </c>
      <c r="D51" s="25" t="s">
        <v>205</v>
      </c>
      <c r="E51" s="24" t="s">
        <v>206</v>
      </c>
      <c r="F51" s="10"/>
      <c r="G51" s="24" t="s">
        <v>207</v>
      </c>
      <c r="H51" s="24">
        <v>3200</v>
      </c>
      <c r="I51" s="24" t="s">
        <v>208</v>
      </c>
      <c r="J51" s="11">
        <f>VLOOKUP(D51,[1]Sheet2!$A$5:$E$146,5,FALSE())</f>
        <v>8868.6666666666697</v>
      </c>
      <c r="K51" s="24"/>
      <c r="L51" s="8">
        <v>10000</v>
      </c>
      <c r="M51" s="26">
        <f>L51/H51</f>
        <v>3.125</v>
      </c>
    </row>
    <row r="52" spans="1:13" x14ac:dyDescent="0.2">
      <c r="A52" s="7" t="str">
        <f>IF(_xlfn.NUMBERVALUE(SEARCH("Alinity c",G52)),"CC","IA")</f>
        <v>CC</v>
      </c>
      <c r="B52" s="7" t="s">
        <v>12</v>
      </c>
      <c r="C52" s="2"/>
      <c r="D52" s="15"/>
      <c r="E52" s="15"/>
      <c r="F52" s="15"/>
      <c r="G52" s="15" t="s">
        <v>207</v>
      </c>
      <c r="H52" s="15">
        <v>880</v>
      </c>
      <c r="I52" s="15" t="s">
        <v>209</v>
      </c>
      <c r="J52" s="17"/>
      <c r="K52" s="15"/>
      <c r="L52" s="18"/>
      <c r="M52" s="19"/>
    </row>
    <row r="53" spans="1:13" x14ac:dyDescent="0.2">
      <c r="A53" s="7" t="str">
        <f>IF(_xlfn.NUMBERVALUE(SEARCH("Alinity c",G53)),"CC","IA")</f>
        <v>CC</v>
      </c>
      <c r="B53" s="7" t="s">
        <v>12</v>
      </c>
      <c r="C53" s="8" t="s">
        <v>210</v>
      </c>
      <c r="D53" s="9" t="s">
        <v>211</v>
      </c>
      <c r="E53" s="7" t="s">
        <v>212</v>
      </c>
      <c r="F53" s="10"/>
      <c r="G53" s="7" t="s">
        <v>213</v>
      </c>
      <c r="H53" s="7">
        <v>3500</v>
      </c>
      <c r="I53" s="7" t="s">
        <v>133</v>
      </c>
      <c r="J53" s="11">
        <f>VLOOKUP(D53,[1]Sheet2!$A$5:$E$146,5,FALSE())</f>
        <v>8045</v>
      </c>
      <c r="K53" s="7"/>
      <c r="L53" s="8">
        <v>10000</v>
      </c>
      <c r="M53" s="12">
        <f>L53/H53</f>
        <v>2.8571428571428572</v>
      </c>
    </row>
    <row r="54" spans="1:13" x14ac:dyDescent="0.2">
      <c r="A54" s="24" t="str">
        <f>IF(_xlfn.NUMBERVALUE(SEARCH("Alinity c",G54)),"CC","IA")</f>
        <v>CC</v>
      </c>
      <c r="B54" s="24" t="s">
        <v>12</v>
      </c>
      <c r="C54" s="8" t="s">
        <v>214</v>
      </c>
      <c r="D54" s="25" t="s">
        <v>215</v>
      </c>
      <c r="E54" s="24" t="s">
        <v>216</v>
      </c>
      <c r="F54" s="10"/>
      <c r="G54" s="24" t="s">
        <v>217</v>
      </c>
      <c r="H54" s="24">
        <v>580</v>
      </c>
      <c r="I54" s="24" t="s">
        <v>218</v>
      </c>
      <c r="J54" s="11">
        <f>VLOOKUP(D54,[1]Sheet2!$A$5:$E$146,5,FALSE())</f>
        <v>3502.6666666666702</v>
      </c>
      <c r="K54" s="24"/>
      <c r="L54" s="8">
        <v>4000</v>
      </c>
      <c r="M54" s="26">
        <f>L54/H54</f>
        <v>6.8965517241379306</v>
      </c>
    </row>
    <row r="55" spans="1:13" x14ac:dyDescent="0.2">
      <c r="A55" s="24" t="str">
        <f>IF(_xlfn.NUMBERVALUE(SEARCH("Alinity c",G55)),"CC","IA")</f>
        <v>CC</v>
      </c>
      <c r="B55" s="24" t="s">
        <v>12</v>
      </c>
      <c r="C55" s="8" t="s">
        <v>219</v>
      </c>
      <c r="D55" s="25" t="s">
        <v>220</v>
      </c>
      <c r="E55" s="24" t="s">
        <v>221</v>
      </c>
      <c r="F55" s="10"/>
      <c r="G55" s="24" t="s">
        <v>222</v>
      </c>
      <c r="H55" s="24">
        <v>400</v>
      </c>
      <c r="I55" s="24" t="s">
        <v>61</v>
      </c>
      <c r="J55" s="11">
        <f>VLOOKUP(D55,[1]Sheet2!$A$5:$E$146,5,FALSE())</f>
        <v>2192</v>
      </c>
      <c r="K55" s="24"/>
      <c r="L55" s="8">
        <v>2500</v>
      </c>
      <c r="M55" s="26">
        <f>L55/H55</f>
        <v>6.25</v>
      </c>
    </row>
    <row r="56" spans="1:13" x14ac:dyDescent="0.2">
      <c r="A56" s="7" t="str">
        <f>IF(_xlfn.NUMBERVALUE(SEARCH("Alinity c",G56)),"CC","IA")</f>
        <v>CC</v>
      </c>
      <c r="B56" s="7" t="s">
        <v>12</v>
      </c>
      <c r="C56" s="8" t="s">
        <v>223</v>
      </c>
      <c r="D56" s="33" t="s">
        <v>224</v>
      </c>
      <c r="E56" s="7" t="s">
        <v>225</v>
      </c>
      <c r="F56" s="10"/>
      <c r="G56" s="7" t="s">
        <v>226</v>
      </c>
      <c r="H56" s="7">
        <v>300</v>
      </c>
      <c r="I56" s="7" t="s">
        <v>227</v>
      </c>
      <c r="J56" s="11">
        <f>VLOOKUP(D56,[1]Sheet2!$A$5:$E$146,5,FALSE())</f>
        <v>236</v>
      </c>
      <c r="K56" s="7"/>
      <c r="L56" s="8">
        <v>300</v>
      </c>
      <c r="M56" s="12">
        <f>L56/H56</f>
        <v>1</v>
      </c>
    </row>
    <row r="57" spans="1:13" x14ac:dyDescent="0.2">
      <c r="A57" s="7" t="str">
        <f>IF(_xlfn.NUMBERVALUE(SEARCH("Alinity c",G57)),"CC","IA")</f>
        <v>CC</v>
      </c>
      <c r="B57" s="7" t="s">
        <v>12</v>
      </c>
      <c r="C57" s="8" t="s">
        <v>228</v>
      </c>
      <c r="D57" s="33" t="s">
        <v>229</v>
      </c>
      <c r="E57" s="7" t="s">
        <v>230</v>
      </c>
      <c r="F57" s="10"/>
      <c r="G57" s="7" t="s">
        <v>231</v>
      </c>
      <c r="H57" s="7">
        <v>300</v>
      </c>
      <c r="I57" s="7" t="s">
        <v>227</v>
      </c>
      <c r="J57" s="11">
        <f>VLOOKUP(D57,[1]Sheet2!$A$5:$E$146,5,FALSE())</f>
        <v>239.666666666667</v>
      </c>
      <c r="K57" s="7"/>
      <c r="L57" s="8">
        <v>300</v>
      </c>
      <c r="M57" s="12">
        <f>L57/H57</f>
        <v>1</v>
      </c>
    </row>
    <row r="58" spans="1:13" x14ac:dyDescent="0.2">
      <c r="A58" s="7" t="s">
        <v>52</v>
      </c>
      <c r="B58" s="7" t="s">
        <v>12</v>
      </c>
      <c r="C58" s="8" t="s">
        <v>232</v>
      </c>
      <c r="D58" s="9" t="s">
        <v>233</v>
      </c>
      <c r="E58" s="7" t="s">
        <v>234</v>
      </c>
      <c r="F58" s="10"/>
      <c r="G58" s="7" t="s">
        <v>235</v>
      </c>
      <c r="H58" s="7">
        <v>200</v>
      </c>
      <c r="I58" s="7" t="s">
        <v>28</v>
      </c>
      <c r="J58" s="11">
        <f>VLOOKUP(D58,[1]Sheet2!$A$5:$E$146,5,FALSE())</f>
        <v>331</v>
      </c>
      <c r="K58" s="7"/>
      <c r="L58" s="8">
        <v>400</v>
      </c>
      <c r="M58" s="12">
        <f>L58/H58</f>
        <v>2</v>
      </c>
    </row>
    <row r="59" spans="1:13" x14ac:dyDescent="0.2">
      <c r="A59" s="24" t="str">
        <f>IF(_xlfn.NUMBERVALUE(SEARCH("Alinity c",G59)),"CC","IA")</f>
        <v>CC</v>
      </c>
      <c r="B59" s="24" t="s">
        <v>12</v>
      </c>
      <c r="C59" s="8" t="s">
        <v>236</v>
      </c>
      <c r="D59" s="25" t="s">
        <v>237</v>
      </c>
      <c r="E59" s="24" t="s">
        <v>238</v>
      </c>
      <c r="F59" s="10"/>
      <c r="G59" s="24" t="s">
        <v>239</v>
      </c>
      <c r="H59" s="24">
        <v>1200</v>
      </c>
      <c r="I59" s="24" t="s">
        <v>240</v>
      </c>
      <c r="J59" s="11">
        <f>VLOOKUP(D59,[1]Sheet2!$A$5:$E$146,5,FALSE())</f>
        <v>5522.6666666666697</v>
      </c>
      <c r="K59" s="24"/>
      <c r="L59" s="8">
        <v>6000</v>
      </c>
      <c r="M59" s="26">
        <f>L59/H59</f>
        <v>5</v>
      </c>
    </row>
    <row r="60" spans="1:13" ht="24.75" x14ac:dyDescent="0.2">
      <c r="A60" s="24" t="str">
        <f>IF(_xlfn.NUMBERVALUE(SEARCH("Alinity c",G60)),"CC","IA")</f>
        <v>CC</v>
      </c>
      <c r="B60" s="24" t="s">
        <v>12</v>
      </c>
      <c r="C60" s="8" t="s">
        <v>241</v>
      </c>
      <c r="D60" s="25" t="s">
        <v>242</v>
      </c>
      <c r="E60" s="24" t="s">
        <v>243</v>
      </c>
      <c r="F60" s="10"/>
      <c r="G60" s="24" t="s">
        <v>244</v>
      </c>
      <c r="H60" s="24">
        <v>3600</v>
      </c>
      <c r="I60" s="24" t="s">
        <v>245</v>
      </c>
      <c r="J60" s="11" t="e">
        <f>VLOOKUP(D60,[1]Sheet2!$A$5:$E$146,5,FALSE())</f>
        <v>#N/A</v>
      </c>
      <c r="K60" s="24"/>
      <c r="L60" s="8">
        <v>23000</v>
      </c>
      <c r="M60" s="26">
        <f>L60/H60</f>
        <v>6.3888888888888893</v>
      </c>
    </row>
    <row r="61" spans="1:13" x14ac:dyDescent="0.2">
      <c r="A61" s="7" t="s">
        <v>52</v>
      </c>
      <c r="B61" s="7" t="s">
        <v>12</v>
      </c>
      <c r="C61" s="8" t="s">
        <v>246</v>
      </c>
      <c r="D61" s="9" t="s">
        <v>247</v>
      </c>
      <c r="E61" s="7" t="s">
        <v>248</v>
      </c>
      <c r="F61" s="10"/>
      <c r="G61" s="7" t="s">
        <v>249</v>
      </c>
      <c r="H61" s="7">
        <v>200</v>
      </c>
      <c r="I61" s="7" t="s">
        <v>28</v>
      </c>
      <c r="J61" s="11">
        <f>VLOOKUP(D61,[1]Sheet2!$A$5:$E$146,5,FALSE())</f>
        <v>180.333333333333</v>
      </c>
      <c r="K61" s="7"/>
      <c r="L61" s="8">
        <v>200</v>
      </c>
      <c r="M61" s="12">
        <f>L61/H61</f>
        <v>1</v>
      </c>
    </row>
    <row r="62" spans="1:13" x14ac:dyDescent="0.2">
      <c r="A62" s="24" t="str">
        <f>IF(_xlfn.NUMBERVALUE(SEARCH("Alinity c",G62)),"CC","IA")</f>
        <v>CC</v>
      </c>
      <c r="B62" s="24" t="s">
        <v>12</v>
      </c>
      <c r="C62" s="8" t="s">
        <v>250</v>
      </c>
      <c r="D62" s="25" t="s">
        <v>251</v>
      </c>
      <c r="E62" s="24" t="s">
        <v>252</v>
      </c>
      <c r="F62" s="10"/>
      <c r="G62" s="24" t="s">
        <v>253</v>
      </c>
      <c r="H62" s="24">
        <v>200</v>
      </c>
      <c r="I62" s="24" t="s">
        <v>28</v>
      </c>
      <c r="J62" s="11">
        <f>VLOOKUP(D62,[1]Sheet2!$A$5:$E$146,5,FALSE())</f>
        <v>710.33333333333303</v>
      </c>
      <c r="K62" s="24"/>
      <c r="L62" s="8">
        <v>800</v>
      </c>
      <c r="M62" s="26">
        <f>L62/H62</f>
        <v>4</v>
      </c>
    </row>
    <row r="63" spans="1:13" x14ac:dyDescent="0.2">
      <c r="A63" s="7" t="str">
        <f>IF(_xlfn.NUMBERVALUE(SEARCH("Alinity c",G63)),"CC","IA")</f>
        <v>CC</v>
      </c>
      <c r="B63" s="7" t="s">
        <v>12</v>
      </c>
      <c r="C63" s="8" t="s">
        <v>254</v>
      </c>
      <c r="D63" s="9" t="s">
        <v>255</v>
      </c>
      <c r="E63" s="7" t="s">
        <v>256</v>
      </c>
      <c r="F63" s="10"/>
      <c r="G63" s="7" t="s">
        <v>257</v>
      </c>
      <c r="H63" s="7">
        <v>800</v>
      </c>
      <c r="I63" s="7" t="s">
        <v>258</v>
      </c>
      <c r="J63" s="11">
        <f>VLOOKUP(D63,[1]Sheet2!$A$5:$E$146,5,FALSE())</f>
        <v>116.333333333333</v>
      </c>
      <c r="K63" s="7"/>
      <c r="L63" s="8">
        <v>200</v>
      </c>
      <c r="M63" s="12">
        <f>L63/H63</f>
        <v>0.25</v>
      </c>
    </row>
    <row r="64" spans="1:13" x14ac:dyDescent="0.2">
      <c r="A64" s="7" t="str">
        <f>IF(_xlfn.NUMBERVALUE(SEARCH("Alinity c",G64)),"CC","IA")</f>
        <v>CC</v>
      </c>
      <c r="B64" s="7" t="s">
        <v>12</v>
      </c>
      <c r="C64" s="8" t="s">
        <v>259</v>
      </c>
      <c r="D64" s="9" t="s">
        <v>260</v>
      </c>
      <c r="E64" s="7" t="s">
        <v>261</v>
      </c>
      <c r="F64" s="10"/>
      <c r="G64" s="7" t="s">
        <v>262</v>
      </c>
      <c r="H64" s="7">
        <v>400</v>
      </c>
      <c r="I64" s="7" t="s">
        <v>61</v>
      </c>
      <c r="J64" s="11">
        <f>VLOOKUP(D64,[1]Sheet2!$A$5:$E$146,5,FALSE())</f>
        <v>101</v>
      </c>
      <c r="K64" s="7"/>
      <c r="L64" s="8">
        <v>200</v>
      </c>
      <c r="M64" s="12">
        <f>L64/H64</f>
        <v>0.5</v>
      </c>
    </row>
    <row r="65" spans="1:13" x14ac:dyDescent="0.2">
      <c r="A65" s="7" t="s">
        <v>52</v>
      </c>
      <c r="B65" s="7" t="s">
        <v>12</v>
      </c>
      <c r="C65" s="8" t="s">
        <v>263</v>
      </c>
      <c r="D65" s="9" t="s">
        <v>264</v>
      </c>
      <c r="E65" s="7" t="s">
        <v>265</v>
      </c>
      <c r="F65" s="10"/>
      <c r="G65" s="7" t="s">
        <v>266</v>
      </c>
      <c r="H65" s="7">
        <v>200</v>
      </c>
      <c r="I65" s="7" t="s">
        <v>28</v>
      </c>
      <c r="J65" s="11">
        <f>VLOOKUP(D65,[1]Sheet2!$A$5:$E$146,5,FALSE())</f>
        <v>274.66666666666703</v>
      </c>
      <c r="K65" s="7"/>
      <c r="L65" s="8">
        <v>400</v>
      </c>
      <c r="M65" s="12">
        <f>L65/H65</f>
        <v>2</v>
      </c>
    </row>
    <row r="66" spans="1:13" x14ac:dyDescent="0.2">
      <c r="A66" s="15" t="s">
        <v>184</v>
      </c>
      <c r="B66" s="15" t="s">
        <v>12</v>
      </c>
      <c r="C66" s="20" t="s">
        <v>267</v>
      </c>
      <c r="D66" s="16"/>
      <c r="E66" s="21"/>
      <c r="F66" s="15"/>
      <c r="G66" s="21"/>
      <c r="H66" s="21"/>
      <c r="I66" s="21"/>
      <c r="J66" s="17"/>
      <c r="K66" s="21"/>
      <c r="L66" s="18"/>
      <c r="M66" s="19"/>
    </row>
    <row r="67" spans="1:13" x14ac:dyDescent="0.2">
      <c r="A67" s="7" t="str">
        <f>IF(_xlfn.NUMBERVALUE(SEARCH("Alinity c",G67)),"CC","IA")</f>
        <v>CC</v>
      </c>
      <c r="B67" s="7" t="s">
        <v>12</v>
      </c>
      <c r="C67" s="8" t="s">
        <v>268</v>
      </c>
      <c r="D67" s="9" t="s">
        <v>269</v>
      </c>
      <c r="E67" s="7" t="s">
        <v>270</v>
      </c>
      <c r="F67" s="10"/>
      <c r="G67" s="7" t="s">
        <v>271</v>
      </c>
      <c r="H67" s="7">
        <v>920</v>
      </c>
      <c r="I67" s="7" t="s">
        <v>272</v>
      </c>
      <c r="J67" s="11">
        <f>VLOOKUP(D67,[1]Sheet2!$A$5:$E$146,5,FALSE())</f>
        <v>467.33333333333297</v>
      </c>
      <c r="K67" s="7"/>
      <c r="L67" s="8">
        <v>600</v>
      </c>
      <c r="M67" s="12">
        <f>L67/H67</f>
        <v>0.65217391304347827</v>
      </c>
    </row>
    <row r="68" spans="1:13" x14ac:dyDescent="0.2">
      <c r="A68" s="7" t="str">
        <f>IF(_xlfn.NUMBERVALUE(SEARCH("Alinity c",G68)),"CC","IA")</f>
        <v>CC</v>
      </c>
      <c r="B68" s="7" t="s">
        <v>12</v>
      </c>
      <c r="C68" s="8" t="s">
        <v>273</v>
      </c>
      <c r="D68" s="9" t="s">
        <v>274</v>
      </c>
      <c r="E68" s="7" t="s">
        <v>275</v>
      </c>
      <c r="F68" s="10"/>
      <c r="G68" s="7" t="s">
        <v>276</v>
      </c>
      <c r="H68" s="7">
        <v>400</v>
      </c>
      <c r="I68" s="7" t="s">
        <v>21</v>
      </c>
      <c r="J68" s="11">
        <f>VLOOKUP(D68,[1]Sheet2!$A$5:$E$146,5,FALSE())</f>
        <v>136.333333333333</v>
      </c>
      <c r="K68" s="7"/>
      <c r="L68" s="8">
        <v>200</v>
      </c>
      <c r="M68" s="12">
        <f>L68/H68</f>
        <v>0.5</v>
      </c>
    </row>
    <row r="69" spans="1:13" x14ac:dyDescent="0.2">
      <c r="A69" s="7" t="str">
        <f>IF(_xlfn.NUMBERVALUE(SEARCH("Alinity c",G69)),"CC","IA")</f>
        <v>CC</v>
      </c>
      <c r="B69" s="7" t="s">
        <v>12</v>
      </c>
      <c r="C69" s="8" t="s">
        <v>277</v>
      </c>
      <c r="D69" s="9" t="s">
        <v>278</v>
      </c>
      <c r="E69" s="7" t="s">
        <v>279</v>
      </c>
      <c r="F69" s="10"/>
      <c r="G69" s="7" t="s">
        <v>280</v>
      </c>
      <c r="H69" s="7">
        <v>200</v>
      </c>
      <c r="I69" s="7" t="s">
        <v>28</v>
      </c>
      <c r="J69" s="11">
        <f>VLOOKUP(D69,[1]Sheet2!$A$5:$E$146,5,FALSE())</f>
        <v>104.666666666667</v>
      </c>
      <c r="K69" s="7"/>
      <c r="L69" s="8">
        <v>200</v>
      </c>
      <c r="M69" s="12">
        <f>L69/H69</f>
        <v>1</v>
      </c>
    </row>
    <row r="70" spans="1:13" x14ac:dyDescent="0.2">
      <c r="A70" s="7" t="str">
        <f>IF(_xlfn.NUMBERVALUE(SEARCH("Alinity c",G70)),"CC","IA")</f>
        <v>CC</v>
      </c>
      <c r="B70" s="7" t="s">
        <v>12</v>
      </c>
      <c r="C70" s="8" t="s">
        <v>281</v>
      </c>
      <c r="D70" s="33"/>
      <c r="E70" s="7" t="s">
        <v>282</v>
      </c>
      <c r="F70" s="10"/>
      <c r="G70" s="7" t="s">
        <v>283</v>
      </c>
      <c r="H70" s="7">
        <v>200</v>
      </c>
      <c r="I70" s="7" t="s">
        <v>142</v>
      </c>
      <c r="J70" s="11" t="e">
        <f>VLOOKUP(D70,[1]Sheet2!$A$5:$E$146,5,FALSE())</f>
        <v>#N/A</v>
      </c>
      <c r="K70" s="7"/>
      <c r="L70" s="13" t="s">
        <v>23</v>
      </c>
      <c r="M70" s="14" t="s">
        <v>23</v>
      </c>
    </row>
    <row r="71" spans="1:13" x14ac:dyDescent="0.2">
      <c r="A71" s="24" t="s">
        <v>52</v>
      </c>
      <c r="B71" s="24" t="s">
        <v>12</v>
      </c>
      <c r="C71" s="8" t="s">
        <v>284</v>
      </c>
      <c r="D71" s="25" t="s">
        <v>285</v>
      </c>
      <c r="E71" s="24" t="s">
        <v>286</v>
      </c>
      <c r="F71" s="10"/>
      <c r="G71" s="24" t="s">
        <v>287</v>
      </c>
      <c r="H71" s="24">
        <v>1200</v>
      </c>
      <c r="I71" s="24" t="s">
        <v>288</v>
      </c>
      <c r="J71" s="11">
        <f>VLOOKUP(D71,[1]Sheet2!$A$5:$E$146,5,FALSE())</f>
        <v>5479.3333333333303</v>
      </c>
      <c r="K71" s="24"/>
      <c r="L71" s="8">
        <v>6200</v>
      </c>
      <c r="M71" s="26">
        <f>L71/H71</f>
        <v>5.166666666666667</v>
      </c>
    </row>
    <row r="72" spans="1:13" x14ac:dyDescent="0.2">
      <c r="A72" s="7" t="s">
        <v>52</v>
      </c>
      <c r="B72" s="7" t="s">
        <v>12</v>
      </c>
      <c r="C72" s="8" t="s">
        <v>289</v>
      </c>
      <c r="D72" s="9" t="s">
        <v>290</v>
      </c>
      <c r="E72" s="7" t="s">
        <v>291</v>
      </c>
      <c r="F72" s="10"/>
      <c r="G72" s="7" t="s">
        <v>292</v>
      </c>
      <c r="H72" s="7">
        <v>1200</v>
      </c>
      <c r="I72" s="7" t="s">
        <v>288</v>
      </c>
      <c r="J72" s="11">
        <f>VLOOKUP(D72,[1]Sheet2!$A$5:$E$146,5,FALSE())</f>
        <v>1912.3333333333301</v>
      </c>
      <c r="K72" s="7"/>
      <c r="L72" s="8">
        <v>2400</v>
      </c>
      <c r="M72" s="12">
        <f>L72/H72</f>
        <v>2</v>
      </c>
    </row>
    <row r="73" spans="1:13" x14ac:dyDescent="0.2">
      <c r="A73" s="7" t="str">
        <f>IF(_xlfn.NUMBERVALUE(SEARCH("Alinity c",G73)),"CC","IA")</f>
        <v>CC</v>
      </c>
      <c r="B73" s="7" t="s">
        <v>12</v>
      </c>
      <c r="C73" s="8" t="s">
        <v>293</v>
      </c>
      <c r="D73" s="9" t="s">
        <v>294</v>
      </c>
      <c r="E73" s="7" t="s">
        <v>295</v>
      </c>
      <c r="F73" s="10"/>
      <c r="G73" s="7" t="s">
        <v>296</v>
      </c>
      <c r="H73" s="7">
        <v>2000</v>
      </c>
      <c r="I73" s="7" t="s">
        <v>297</v>
      </c>
      <c r="J73" s="11">
        <f>VLOOKUP(D73,[1]Sheet2!$A$5:$E$146,5,FALSE())</f>
        <v>3508</v>
      </c>
      <c r="K73" s="7"/>
      <c r="L73" s="8">
        <v>4000</v>
      </c>
      <c r="M73" s="12">
        <f>L73/H73</f>
        <v>2</v>
      </c>
    </row>
    <row r="74" spans="1:13" ht="24.75" x14ac:dyDescent="0.2">
      <c r="A74" s="7" t="str">
        <f>IF(_xlfn.NUMBERVALUE(SEARCH("Alinity c",G74)),"CC","IA")</f>
        <v>CC</v>
      </c>
      <c r="B74" s="7" t="s">
        <v>12</v>
      </c>
      <c r="C74" s="8" t="s">
        <v>298</v>
      </c>
      <c r="D74" s="9" t="s">
        <v>299</v>
      </c>
      <c r="E74" s="7" t="s">
        <v>300</v>
      </c>
      <c r="F74" s="10"/>
      <c r="G74" s="7" t="s">
        <v>301</v>
      </c>
      <c r="H74" s="7">
        <v>1120</v>
      </c>
      <c r="I74" s="7" t="s">
        <v>302</v>
      </c>
      <c r="J74" s="11" t="e">
        <f>VLOOKUP(D74,[1]Sheet2!$A$5:$E$146,5,FALSE())</f>
        <v>#N/A</v>
      </c>
      <c r="K74" s="7"/>
      <c r="L74" s="8">
        <v>2200</v>
      </c>
      <c r="M74" s="12">
        <f>L74/H74</f>
        <v>1.9642857142857142</v>
      </c>
    </row>
    <row r="75" spans="1:13" x14ac:dyDescent="0.2">
      <c r="A75" s="7" t="s">
        <v>52</v>
      </c>
      <c r="B75" s="7" t="s">
        <v>12</v>
      </c>
      <c r="C75" s="8" t="s">
        <v>303</v>
      </c>
      <c r="D75" s="9" t="s">
        <v>303</v>
      </c>
      <c r="E75" s="7" t="s">
        <v>304</v>
      </c>
      <c r="F75" s="10"/>
      <c r="G75" s="7" t="s">
        <v>305</v>
      </c>
      <c r="H75" s="7">
        <v>200</v>
      </c>
      <c r="I75" s="7" t="s">
        <v>28</v>
      </c>
      <c r="J75" s="11">
        <f>VLOOKUP(D75,[1]Sheet2!$A$5:$E$146,5,FALSE())</f>
        <v>320.33333333333297</v>
      </c>
      <c r="K75" s="7"/>
      <c r="L75" s="8">
        <v>400</v>
      </c>
      <c r="M75" s="12">
        <f>L75/H75</f>
        <v>2</v>
      </c>
    </row>
    <row r="76" spans="1:13" x14ac:dyDescent="0.2">
      <c r="A76" s="7" t="s">
        <v>52</v>
      </c>
      <c r="B76" s="7" t="s">
        <v>12</v>
      </c>
      <c r="C76" s="8" t="s">
        <v>306</v>
      </c>
      <c r="D76" s="9" t="s">
        <v>307</v>
      </c>
      <c r="E76" s="7" t="s">
        <v>308</v>
      </c>
      <c r="F76" s="10"/>
      <c r="G76" s="7" t="s">
        <v>309</v>
      </c>
      <c r="H76" s="7">
        <v>1200</v>
      </c>
      <c r="I76" s="7" t="s">
        <v>288</v>
      </c>
      <c r="J76" s="11">
        <f>VLOOKUP(D76,[1]Sheet2!$A$5:$E$146,5,FALSE())</f>
        <v>2954.6666666666702</v>
      </c>
      <c r="K76" s="7"/>
      <c r="L76" s="8">
        <v>3600</v>
      </c>
      <c r="M76" s="12">
        <f>L76/H76</f>
        <v>3</v>
      </c>
    </row>
    <row r="77" spans="1:13" x14ac:dyDescent="0.2">
      <c r="A77" s="7" t="s">
        <v>52</v>
      </c>
      <c r="B77" s="7" t="s">
        <v>12</v>
      </c>
      <c r="C77" s="8" t="s">
        <v>310</v>
      </c>
      <c r="D77" s="9" t="s">
        <v>311</v>
      </c>
      <c r="E77" s="7" t="s">
        <v>312</v>
      </c>
      <c r="F77" s="10"/>
      <c r="G77" s="7" t="s">
        <v>313</v>
      </c>
      <c r="H77" s="7">
        <v>1200</v>
      </c>
      <c r="I77" s="7" t="s">
        <v>288</v>
      </c>
      <c r="J77" s="11">
        <f>VLOOKUP(D77,[1]Sheet2!$A$5:$E$146,5,FALSE())</f>
        <v>3742.6666666666702</v>
      </c>
      <c r="K77" s="7"/>
      <c r="L77" s="8">
        <v>4500</v>
      </c>
      <c r="M77" s="12">
        <f>L77/H77</f>
        <v>3.75</v>
      </c>
    </row>
    <row r="78" spans="1:13" x14ac:dyDescent="0.2">
      <c r="A78" s="7" t="s">
        <v>52</v>
      </c>
      <c r="B78" s="7" t="s">
        <v>12</v>
      </c>
      <c r="C78" s="8" t="s">
        <v>314</v>
      </c>
      <c r="D78" s="33"/>
      <c r="E78" s="7" t="s">
        <v>315</v>
      </c>
      <c r="F78" s="10"/>
      <c r="G78" s="7" t="s">
        <v>316</v>
      </c>
      <c r="H78" s="7">
        <v>150</v>
      </c>
      <c r="I78" s="7">
        <v>150</v>
      </c>
      <c r="J78" s="11" t="e">
        <f>VLOOKUP(D78,[1]Sheet2!$A$5:$E$146,5,FALSE())</f>
        <v>#N/A</v>
      </c>
      <c r="K78" s="7"/>
      <c r="L78" s="13" t="s">
        <v>23</v>
      </c>
      <c r="M78" s="14" t="s">
        <v>23</v>
      </c>
    </row>
    <row r="79" spans="1:13" x14ac:dyDescent="0.2">
      <c r="A79" s="7" t="str">
        <f>IF(_xlfn.NUMBERVALUE(SEARCH("Alinity c",G79)),"CC","IA")</f>
        <v>CC</v>
      </c>
      <c r="B79" s="7" t="s">
        <v>12</v>
      </c>
      <c r="C79" s="8" t="s">
        <v>317</v>
      </c>
      <c r="D79" s="33"/>
      <c r="E79" s="7" t="s">
        <v>318</v>
      </c>
      <c r="F79" s="10"/>
      <c r="G79" s="7" t="s">
        <v>319</v>
      </c>
      <c r="H79" s="7">
        <v>200</v>
      </c>
      <c r="I79" s="7" t="s">
        <v>28</v>
      </c>
      <c r="J79" s="11" t="e">
        <f>VLOOKUP(D79,[1]Sheet2!$A$5:$E$146,5,FALSE())</f>
        <v>#N/A</v>
      </c>
      <c r="K79" s="7"/>
      <c r="L79" s="8">
        <v>10</v>
      </c>
      <c r="M79" s="12">
        <f>L79/H79</f>
        <v>0.05</v>
      </c>
    </row>
    <row r="80" spans="1:13" x14ac:dyDescent="0.2">
      <c r="A80" s="37" t="s">
        <v>52</v>
      </c>
      <c r="B80" s="37" t="s">
        <v>12</v>
      </c>
      <c r="C80" s="43" t="s">
        <v>320</v>
      </c>
      <c r="D80" s="44"/>
      <c r="E80" s="37" t="s">
        <v>321</v>
      </c>
      <c r="F80" s="10"/>
      <c r="G80" s="37" t="s">
        <v>322</v>
      </c>
      <c r="H80" s="7">
        <v>200</v>
      </c>
      <c r="I80" s="7" t="s">
        <v>28</v>
      </c>
      <c r="J80" s="11" t="e">
        <f>VLOOKUP(D80,[1]Sheet2!$A$5:$E$146,5,FALSE())</f>
        <v>#N/A</v>
      </c>
      <c r="K80" s="7"/>
      <c r="L80" s="13" t="s">
        <v>23</v>
      </c>
      <c r="M80" s="14" t="s">
        <v>23</v>
      </c>
    </row>
    <row r="81" spans="1:13" x14ac:dyDescent="0.2">
      <c r="A81" s="24" t="str">
        <f>IF(_xlfn.NUMBERVALUE(SEARCH("Alinity c",G81)),"CC","IA")</f>
        <v>CC</v>
      </c>
      <c r="B81" s="24" t="s">
        <v>12</v>
      </c>
      <c r="C81" s="8" t="s">
        <v>323</v>
      </c>
      <c r="D81" s="25" t="s">
        <v>324</v>
      </c>
      <c r="E81" s="24" t="s">
        <v>325</v>
      </c>
      <c r="F81" s="10"/>
      <c r="G81" s="24" t="s">
        <v>326</v>
      </c>
      <c r="H81" s="24">
        <v>2100</v>
      </c>
      <c r="I81" s="24" t="s">
        <v>327</v>
      </c>
      <c r="J81" s="11">
        <f>VLOOKUP(D81,[1]Sheet2!$A$5:$E$146,5,FALSE())</f>
        <v>8476.3333333333303</v>
      </c>
      <c r="K81" s="24"/>
      <c r="L81" s="8">
        <v>10000</v>
      </c>
      <c r="M81" s="26">
        <f>L81/H81</f>
        <v>4.7619047619047619</v>
      </c>
    </row>
    <row r="82" spans="1:13" ht="27.75" x14ac:dyDescent="0.2">
      <c r="A82" s="7" t="str">
        <f>IF(_xlfn.NUMBERVALUE(SEARCH("Alinity c",G82)),"CC","IA")</f>
        <v>CC</v>
      </c>
      <c r="B82" s="7" t="s">
        <v>12</v>
      </c>
      <c r="C82" s="2" t="s">
        <v>328</v>
      </c>
      <c r="D82" s="45" t="s">
        <v>329</v>
      </c>
      <c r="E82" s="7" t="s">
        <v>330</v>
      </c>
      <c r="F82" s="10"/>
      <c r="G82" s="7" t="s">
        <v>331</v>
      </c>
      <c r="H82" s="7">
        <v>11000</v>
      </c>
      <c r="I82" s="7" t="s">
        <v>332</v>
      </c>
      <c r="J82" s="11">
        <v>17000</v>
      </c>
      <c r="K82" s="7"/>
      <c r="L82" s="8">
        <v>20000</v>
      </c>
      <c r="M82" s="12">
        <f>L82/H82</f>
        <v>1.8181818181818181</v>
      </c>
    </row>
    <row r="83" spans="1:13" x14ac:dyDescent="0.2">
      <c r="A83" s="7" t="str">
        <f>IF(_xlfn.NUMBERVALUE(SEARCH("Alinity c",G83)),"CC","IA")</f>
        <v>CC</v>
      </c>
      <c r="B83" s="7" t="s">
        <v>12</v>
      </c>
      <c r="C83" s="2"/>
      <c r="D83" s="46"/>
      <c r="E83" s="15" t="s">
        <v>333</v>
      </c>
      <c r="F83" s="15"/>
      <c r="G83" s="15" t="s">
        <v>331</v>
      </c>
      <c r="H83" s="15">
        <v>4000</v>
      </c>
      <c r="I83" s="15" t="s">
        <v>110</v>
      </c>
      <c r="J83" s="17"/>
      <c r="K83" s="15"/>
      <c r="L83" s="18"/>
      <c r="M83" s="19"/>
    </row>
    <row r="84" spans="1:13" x14ac:dyDescent="0.2">
      <c r="A84" s="7" t="s">
        <v>52</v>
      </c>
      <c r="B84" s="7" t="s">
        <v>12</v>
      </c>
      <c r="C84" s="8" t="s">
        <v>334</v>
      </c>
      <c r="D84" s="9" t="s">
        <v>335</v>
      </c>
      <c r="E84" s="7" t="s">
        <v>336</v>
      </c>
      <c r="F84" s="10"/>
      <c r="G84" s="7" t="s">
        <v>337</v>
      </c>
      <c r="H84" s="7">
        <v>200</v>
      </c>
      <c r="I84" s="7" t="s">
        <v>28</v>
      </c>
      <c r="J84" s="11">
        <f>VLOOKUP(D84,[1]Sheet2!$A$5:$E$146,5,FALSE())</f>
        <v>124.666666666667</v>
      </c>
      <c r="K84" s="7"/>
      <c r="L84" s="8">
        <v>200</v>
      </c>
      <c r="M84" s="12">
        <f>L84/H84</f>
        <v>1</v>
      </c>
    </row>
    <row r="85" spans="1:13" x14ac:dyDescent="0.2">
      <c r="A85" s="7" t="s">
        <v>52</v>
      </c>
      <c r="B85" s="7" t="s">
        <v>12</v>
      </c>
      <c r="C85" s="8" t="s">
        <v>338</v>
      </c>
      <c r="D85" s="9" t="s">
        <v>339</v>
      </c>
      <c r="E85" s="7" t="s">
        <v>340</v>
      </c>
      <c r="F85" s="10"/>
      <c r="G85" s="7" t="s">
        <v>341</v>
      </c>
      <c r="H85" s="7">
        <v>200</v>
      </c>
      <c r="I85" s="7" t="s">
        <v>28</v>
      </c>
      <c r="J85" s="11">
        <f>VLOOKUP(D85,[1]Sheet2!$A$5:$E$146,5,FALSE())</f>
        <v>132.333333333333</v>
      </c>
      <c r="K85" s="7"/>
      <c r="L85" s="8">
        <v>200</v>
      </c>
      <c r="M85" s="12">
        <f>L85/H85</f>
        <v>1</v>
      </c>
    </row>
    <row r="86" spans="1:13" x14ac:dyDescent="0.2">
      <c r="A86" s="7" t="s">
        <v>52</v>
      </c>
      <c r="B86" s="7" t="s">
        <v>12</v>
      </c>
      <c r="C86" s="8" t="s">
        <v>342</v>
      </c>
      <c r="D86" s="9" t="s">
        <v>343</v>
      </c>
      <c r="E86" s="7" t="s">
        <v>344</v>
      </c>
      <c r="F86" s="10"/>
      <c r="G86" s="7" t="s">
        <v>345</v>
      </c>
      <c r="H86" s="7">
        <v>200</v>
      </c>
      <c r="I86" s="7" t="s">
        <v>28</v>
      </c>
      <c r="J86" s="11">
        <f>VLOOKUP(D86,[1]Sheet2!$A$5:$E$146,5,FALSE())</f>
        <v>515</v>
      </c>
      <c r="K86" s="7"/>
      <c r="L86" s="8">
        <v>600</v>
      </c>
      <c r="M86" s="12">
        <f>L86/H86</f>
        <v>3</v>
      </c>
    </row>
    <row r="87" spans="1:13" x14ac:dyDescent="0.2">
      <c r="A87" s="7" t="s">
        <v>52</v>
      </c>
      <c r="B87" s="7" t="s">
        <v>12</v>
      </c>
      <c r="C87" s="8" t="s">
        <v>346</v>
      </c>
      <c r="D87" s="9" t="s">
        <v>347</v>
      </c>
      <c r="E87" s="7" t="s">
        <v>348</v>
      </c>
      <c r="F87" s="10"/>
      <c r="G87" s="7" t="s">
        <v>349</v>
      </c>
      <c r="H87" s="7">
        <v>200</v>
      </c>
      <c r="I87" s="7" t="s">
        <v>28</v>
      </c>
      <c r="J87" s="11">
        <f>VLOOKUP(D87,[1]Sheet2!$A$5:$E$146,5,FALSE())</f>
        <v>417.66666666666703</v>
      </c>
      <c r="K87" s="7"/>
      <c r="L87" s="8">
        <v>600</v>
      </c>
      <c r="M87" s="12">
        <f>L87/H87</f>
        <v>3</v>
      </c>
    </row>
    <row r="88" spans="1:13" x14ac:dyDescent="0.2">
      <c r="A88" s="7" t="s">
        <v>52</v>
      </c>
      <c r="B88" s="7" t="s">
        <v>12</v>
      </c>
      <c r="C88" s="8" t="s">
        <v>350</v>
      </c>
      <c r="D88" s="9" t="s">
        <v>351</v>
      </c>
      <c r="E88" s="7" t="s">
        <v>352</v>
      </c>
      <c r="F88" s="10"/>
      <c r="G88" s="7" t="s">
        <v>353</v>
      </c>
      <c r="H88" s="7">
        <v>200</v>
      </c>
      <c r="I88" s="7" t="s">
        <v>28</v>
      </c>
      <c r="J88" s="11">
        <f>VLOOKUP(D88,[1]Sheet2!$A$5:$E$146,5,FALSE())</f>
        <v>416.33333333333297</v>
      </c>
      <c r="K88" s="7"/>
      <c r="L88" s="8">
        <v>600</v>
      </c>
      <c r="M88" s="12">
        <f>L88/H88</f>
        <v>3</v>
      </c>
    </row>
    <row r="89" spans="1:13" x14ac:dyDescent="0.2">
      <c r="A89" s="7" t="s">
        <v>52</v>
      </c>
      <c r="B89" s="7" t="s">
        <v>12</v>
      </c>
      <c r="C89" s="8" t="s">
        <v>354</v>
      </c>
      <c r="D89" s="9" t="s">
        <v>354</v>
      </c>
      <c r="E89" s="7" t="s">
        <v>355</v>
      </c>
      <c r="F89" s="10"/>
      <c r="G89" s="7" t="s">
        <v>356</v>
      </c>
      <c r="H89" s="7">
        <v>200</v>
      </c>
      <c r="I89" s="7" t="s">
        <v>28</v>
      </c>
      <c r="J89" s="11">
        <f>VLOOKUP(D89,[1]Sheet2!$A$5:$E$146,5,FALSE())</f>
        <v>411.33333333333297</v>
      </c>
      <c r="K89" s="7"/>
      <c r="L89" s="8">
        <v>600</v>
      </c>
      <c r="M89" s="12">
        <f>L89/H89</f>
        <v>3</v>
      </c>
    </row>
    <row r="90" spans="1:13" x14ac:dyDescent="0.2">
      <c r="A90" s="7" t="s">
        <v>52</v>
      </c>
      <c r="B90" s="7" t="s">
        <v>12</v>
      </c>
      <c r="C90" s="2" t="s">
        <v>357</v>
      </c>
      <c r="D90" s="9" t="s">
        <v>358</v>
      </c>
      <c r="E90" s="7" t="s">
        <v>359</v>
      </c>
      <c r="F90" s="10"/>
      <c r="G90" s="7" t="s">
        <v>360</v>
      </c>
      <c r="H90" s="7">
        <v>1200</v>
      </c>
      <c r="I90" s="7" t="s">
        <v>288</v>
      </c>
      <c r="J90" s="11">
        <f>VLOOKUP(D90,[1]Sheet2!$A$5:$E$146,5,FALSE())</f>
        <v>1334.3333333333301</v>
      </c>
      <c r="K90" s="7"/>
      <c r="L90" s="8">
        <v>1600</v>
      </c>
      <c r="M90" s="12">
        <f>L90/H90</f>
        <v>1.3333333333333333</v>
      </c>
    </row>
    <row r="91" spans="1:13" x14ac:dyDescent="0.2">
      <c r="A91" s="7" t="s">
        <v>52</v>
      </c>
      <c r="B91" s="7" t="s">
        <v>12</v>
      </c>
      <c r="C91" s="2"/>
      <c r="D91" s="15"/>
      <c r="E91" s="15" t="s">
        <v>361</v>
      </c>
      <c r="F91" s="15"/>
      <c r="G91" s="15" t="s">
        <v>360</v>
      </c>
      <c r="H91" s="15">
        <v>200</v>
      </c>
      <c r="I91" s="15" t="s">
        <v>28</v>
      </c>
      <c r="J91" s="17"/>
      <c r="K91" s="15"/>
      <c r="L91" s="18"/>
      <c r="M91" s="19"/>
    </row>
    <row r="92" spans="1:13" x14ac:dyDescent="0.2">
      <c r="A92" s="7" t="s">
        <v>52</v>
      </c>
      <c r="B92" s="7" t="s">
        <v>12</v>
      </c>
      <c r="C92" s="2" t="s">
        <v>362</v>
      </c>
      <c r="D92" s="9" t="s">
        <v>363</v>
      </c>
      <c r="E92" s="7" t="s">
        <v>364</v>
      </c>
      <c r="F92" s="10"/>
      <c r="G92" s="7" t="s">
        <v>365</v>
      </c>
      <c r="H92" s="7">
        <v>1200</v>
      </c>
      <c r="I92" s="7" t="s">
        <v>288</v>
      </c>
      <c r="J92" s="11">
        <f>VLOOKUP(D92,[1]Sheet2!$A$5:$E$146,5,FALSE())</f>
        <v>1387.6666666666699</v>
      </c>
      <c r="K92" s="7"/>
      <c r="L92" s="8">
        <v>1800</v>
      </c>
      <c r="M92" s="12">
        <f>L92/H92</f>
        <v>1.5</v>
      </c>
    </row>
    <row r="93" spans="1:13" x14ac:dyDescent="0.2">
      <c r="A93" s="7" t="s">
        <v>52</v>
      </c>
      <c r="B93" s="7" t="s">
        <v>12</v>
      </c>
      <c r="C93" s="2"/>
      <c r="D93" s="15"/>
      <c r="E93" s="15" t="s">
        <v>366</v>
      </c>
      <c r="F93" s="15"/>
      <c r="G93" s="15" t="s">
        <v>365</v>
      </c>
      <c r="H93" s="15">
        <v>200</v>
      </c>
      <c r="I93" s="15" t="s">
        <v>28</v>
      </c>
      <c r="J93" s="17"/>
      <c r="K93" s="15"/>
      <c r="L93" s="18"/>
      <c r="M93" s="19"/>
    </row>
    <row r="94" spans="1:13" x14ac:dyDescent="0.2">
      <c r="A94" s="7" t="s">
        <v>52</v>
      </c>
      <c r="B94" s="7" t="s">
        <v>12</v>
      </c>
      <c r="C94" s="8" t="s">
        <v>367</v>
      </c>
      <c r="D94" s="33"/>
      <c r="E94" s="7" t="s">
        <v>368</v>
      </c>
      <c r="F94" s="10"/>
      <c r="G94" s="7" t="s">
        <v>369</v>
      </c>
      <c r="H94" s="7">
        <v>200</v>
      </c>
      <c r="I94" s="7" t="s">
        <v>28</v>
      </c>
      <c r="J94" s="11" t="e">
        <f>VLOOKUP(D94,[1]Sheet2!$A$5:$E$146,5,FALSE())</f>
        <v>#N/A</v>
      </c>
      <c r="K94" s="7"/>
      <c r="L94" s="13" t="s">
        <v>22</v>
      </c>
      <c r="M94" s="30" t="s">
        <v>22</v>
      </c>
    </row>
    <row r="95" spans="1:13" x14ac:dyDescent="0.2">
      <c r="A95" s="7" t="s">
        <v>52</v>
      </c>
      <c r="B95" s="7" t="s">
        <v>12</v>
      </c>
      <c r="C95" s="8" t="s">
        <v>370</v>
      </c>
      <c r="D95" s="9" t="s">
        <v>370</v>
      </c>
      <c r="E95" s="7" t="s">
        <v>371</v>
      </c>
      <c r="F95" s="10"/>
      <c r="G95" s="7" t="s">
        <v>372</v>
      </c>
      <c r="H95" s="7">
        <v>200</v>
      </c>
      <c r="I95" s="7" t="s">
        <v>28</v>
      </c>
      <c r="J95" s="11">
        <f>VLOOKUP(D95,[1]Sheet2!$A$5:$E$146,5,FALSE())</f>
        <v>141</v>
      </c>
      <c r="K95" s="7"/>
      <c r="L95" s="8">
        <v>200</v>
      </c>
      <c r="M95" s="12">
        <f>L95/H95</f>
        <v>1</v>
      </c>
    </row>
    <row r="96" spans="1:13" x14ac:dyDescent="0.2">
      <c r="A96" s="7" t="s">
        <v>52</v>
      </c>
      <c r="B96" s="7" t="s">
        <v>12</v>
      </c>
      <c r="C96" s="2" t="s">
        <v>373</v>
      </c>
      <c r="D96" s="9" t="s">
        <v>374</v>
      </c>
      <c r="E96" s="7" t="s">
        <v>375</v>
      </c>
      <c r="F96" s="10"/>
      <c r="G96" s="7" t="s">
        <v>376</v>
      </c>
      <c r="H96" s="7">
        <v>1200</v>
      </c>
      <c r="I96" s="7" t="s">
        <v>288</v>
      </c>
      <c r="J96" s="11">
        <f>VLOOKUP(D96,[1]Sheet2!$A$5:$E$146,5,FALSE())</f>
        <v>1131</v>
      </c>
      <c r="K96" s="7"/>
      <c r="L96" s="8">
        <v>1200</v>
      </c>
      <c r="M96" s="12">
        <f>L96/H96</f>
        <v>1</v>
      </c>
    </row>
    <row r="97" spans="1:13" x14ac:dyDescent="0.2">
      <c r="A97" s="7" t="s">
        <v>52</v>
      </c>
      <c r="B97" s="7" t="s">
        <v>12</v>
      </c>
      <c r="C97" s="2"/>
      <c r="D97" s="15"/>
      <c r="E97" s="15" t="s">
        <v>377</v>
      </c>
      <c r="F97" s="15"/>
      <c r="G97" s="15" t="s">
        <v>376</v>
      </c>
      <c r="H97" s="15">
        <v>200</v>
      </c>
      <c r="I97" s="15" t="s">
        <v>28</v>
      </c>
      <c r="J97" s="17"/>
      <c r="K97" s="15"/>
      <c r="L97" s="18"/>
      <c r="M97" s="19"/>
    </row>
    <row r="98" spans="1:13" x14ac:dyDescent="0.2">
      <c r="A98" s="7" t="str">
        <f>IF(_xlfn.NUMBERVALUE(SEARCH("Alinity c",G98)),"CC","IA")</f>
        <v>CC</v>
      </c>
      <c r="B98" s="7" t="s">
        <v>12</v>
      </c>
      <c r="C98" s="8" t="s">
        <v>378</v>
      </c>
      <c r="D98" s="9" t="s">
        <v>379</v>
      </c>
      <c r="E98" s="7" t="s">
        <v>380</v>
      </c>
      <c r="F98" s="10"/>
      <c r="G98" s="7" t="s">
        <v>381</v>
      </c>
      <c r="H98" s="7">
        <v>360</v>
      </c>
      <c r="I98" s="7" t="s">
        <v>382</v>
      </c>
      <c r="J98" s="11">
        <f>VLOOKUP(D98,[1]Sheet2!$A$5:$E$146,5,FALSE())</f>
        <v>506.66666666666703</v>
      </c>
      <c r="K98" s="7"/>
      <c r="L98" s="8">
        <v>600</v>
      </c>
      <c r="M98" s="12">
        <f>L98/H98</f>
        <v>1.6666666666666667</v>
      </c>
    </row>
    <row r="99" spans="1:13" x14ac:dyDescent="0.2">
      <c r="A99" s="7" t="str">
        <f>IF(_xlfn.NUMBERVALUE(SEARCH("Alinity c",G99)),"CC","IA")</f>
        <v>CC</v>
      </c>
      <c r="B99" s="7" t="s">
        <v>12</v>
      </c>
      <c r="C99" s="8" t="s">
        <v>383</v>
      </c>
      <c r="D99" s="9" t="s">
        <v>384</v>
      </c>
      <c r="E99" s="7" t="s">
        <v>385</v>
      </c>
      <c r="F99" s="10"/>
      <c r="G99" s="7" t="s">
        <v>386</v>
      </c>
      <c r="H99" s="7">
        <v>200</v>
      </c>
      <c r="I99" s="7" t="s">
        <v>28</v>
      </c>
      <c r="J99" s="11">
        <f>VLOOKUP(D99,[1]Sheet2!$A$5:$E$146,5,FALSE())</f>
        <v>339.66666666666703</v>
      </c>
      <c r="K99" s="7"/>
      <c r="L99" s="8">
        <v>400</v>
      </c>
      <c r="M99" s="12">
        <f>L99/H99</f>
        <v>2</v>
      </c>
    </row>
    <row r="100" spans="1:13" x14ac:dyDescent="0.2">
      <c r="A100" s="7" t="str">
        <f>IF(_xlfn.NUMBERVALUE(SEARCH("Alinity c",G100)),"CC","IA")</f>
        <v>CC</v>
      </c>
      <c r="B100" s="7" t="s">
        <v>12</v>
      </c>
      <c r="C100" s="8" t="s">
        <v>387</v>
      </c>
      <c r="D100" s="9" t="s">
        <v>388</v>
      </c>
      <c r="E100" s="7" t="s">
        <v>389</v>
      </c>
      <c r="F100" s="10"/>
      <c r="G100" s="7" t="s">
        <v>390</v>
      </c>
      <c r="H100" s="7">
        <v>360</v>
      </c>
      <c r="I100" s="7" t="s">
        <v>382</v>
      </c>
      <c r="J100" s="11">
        <f>VLOOKUP(D100,[1]Sheet2!$A$5:$E$146,5,FALSE())</f>
        <v>357</v>
      </c>
      <c r="K100" s="7"/>
      <c r="L100" s="8">
        <v>400</v>
      </c>
      <c r="M100" s="12">
        <f>L100/H100</f>
        <v>1.1111111111111112</v>
      </c>
    </row>
    <row r="101" spans="1:13" x14ac:dyDescent="0.2">
      <c r="A101" s="7" t="str">
        <f>IF(_xlfn.NUMBERVALUE(SEARCH("Alinity c",G101)),"CC","IA")</f>
        <v>CC</v>
      </c>
      <c r="B101" s="7" t="s">
        <v>12</v>
      </c>
      <c r="C101" s="8" t="s">
        <v>391</v>
      </c>
      <c r="D101" s="9" t="s">
        <v>392</v>
      </c>
      <c r="E101" s="7" t="s">
        <v>393</v>
      </c>
      <c r="F101" s="10"/>
      <c r="G101" s="7" t="s">
        <v>394</v>
      </c>
      <c r="H101" s="7">
        <v>360</v>
      </c>
      <c r="I101" s="7" t="s">
        <v>382</v>
      </c>
      <c r="J101" s="11">
        <f>VLOOKUP(D101,[1]Sheet2!$A$5:$E$146,5,FALSE())</f>
        <v>347.33333333333297</v>
      </c>
      <c r="K101" s="7"/>
      <c r="L101" s="8">
        <v>400</v>
      </c>
      <c r="M101" s="12">
        <f>L101/H101</f>
        <v>1.1111111111111112</v>
      </c>
    </row>
    <row r="102" spans="1:13" x14ac:dyDescent="0.2">
      <c r="A102" s="7" t="s">
        <v>52</v>
      </c>
      <c r="B102" s="7" t="s">
        <v>12</v>
      </c>
      <c r="C102" s="8" t="s">
        <v>395</v>
      </c>
      <c r="D102" s="9" t="s">
        <v>396</v>
      </c>
      <c r="E102" s="7" t="s">
        <v>397</v>
      </c>
      <c r="F102" s="10"/>
      <c r="G102" s="7" t="s">
        <v>398</v>
      </c>
      <c r="H102" s="7">
        <v>200</v>
      </c>
      <c r="I102" s="7" t="s">
        <v>28</v>
      </c>
      <c r="J102" s="11">
        <f>VLOOKUP(D102,[1]Sheet2!$A$5:$E$146,5,FALSE())</f>
        <v>703.33333333333303</v>
      </c>
      <c r="K102" s="7"/>
      <c r="L102" s="8">
        <v>800</v>
      </c>
      <c r="M102" s="12">
        <f>L102/H102</f>
        <v>4</v>
      </c>
    </row>
    <row r="103" spans="1:13" x14ac:dyDescent="0.2">
      <c r="A103" s="24" t="str">
        <f>IF(_xlfn.NUMBERVALUE(SEARCH("Alinity c",G103)),"CC","IA")</f>
        <v>CC</v>
      </c>
      <c r="B103" s="24" t="s">
        <v>12</v>
      </c>
      <c r="C103" s="2" t="s">
        <v>399</v>
      </c>
      <c r="D103" s="25" t="s">
        <v>400</v>
      </c>
      <c r="E103" s="24" t="s">
        <v>401</v>
      </c>
      <c r="F103" s="10"/>
      <c r="G103" s="24" t="s">
        <v>402</v>
      </c>
      <c r="H103" s="24">
        <v>2000</v>
      </c>
      <c r="I103" s="24" t="s">
        <v>403</v>
      </c>
      <c r="J103" s="11">
        <f>VLOOKUP(D103,[1]Sheet2!$A$5:$E$146,5,FALSE())</f>
        <v>6414.3333333333303</v>
      </c>
      <c r="K103" s="24"/>
      <c r="L103" s="8">
        <v>8000</v>
      </c>
      <c r="M103" s="26">
        <f>L103/H103</f>
        <v>4</v>
      </c>
    </row>
    <row r="104" spans="1:13" x14ac:dyDescent="0.2">
      <c r="A104" s="7" t="str">
        <f>IF(_xlfn.NUMBERVALUE(SEARCH("Alinity c",G104)),"CC","IA")</f>
        <v>CC</v>
      </c>
      <c r="B104" s="7" t="s">
        <v>12</v>
      </c>
      <c r="C104" s="2"/>
      <c r="D104" s="15"/>
      <c r="E104" s="15" t="s">
        <v>404</v>
      </c>
      <c r="F104" s="15"/>
      <c r="G104" s="15" t="s">
        <v>402</v>
      </c>
      <c r="H104" s="15">
        <v>600</v>
      </c>
      <c r="I104" s="15" t="s">
        <v>405</v>
      </c>
      <c r="J104" s="17"/>
      <c r="K104" s="15"/>
      <c r="L104" s="18"/>
      <c r="M104" s="19"/>
    </row>
    <row r="105" spans="1:13" x14ac:dyDescent="0.2">
      <c r="A105" s="7" t="s">
        <v>52</v>
      </c>
      <c r="B105" s="7" t="s">
        <v>12</v>
      </c>
      <c r="C105" s="8" t="s">
        <v>406</v>
      </c>
      <c r="D105" s="9" t="s">
        <v>406</v>
      </c>
      <c r="E105" s="7" t="s">
        <v>407</v>
      </c>
      <c r="F105" s="10"/>
      <c r="G105" s="7" t="s">
        <v>408</v>
      </c>
      <c r="H105" s="7">
        <v>200</v>
      </c>
      <c r="I105" s="7" t="s">
        <v>28</v>
      </c>
      <c r="J105" s="11">
        <f>VLOOKUP(D105,[1]Sheet2!$A$5:$E$146,5,FALSE())</f>
        <v>292.66666666666703</v>
      </c>
      <c r="K105" s="7"/>
      <c r="L105" s="8">
        <v>400</v>
      </c>
      <c r="M105" s="12">
        <f>L105/H105</f>
        <v>2</v>
      </c>
    </row>
    <row r="106" spans="1:13" x14ac:dyDescent="0.2">
      <c r="A106" s="47" t="str">
        <f>IF(_xlfn.NUMBERVALUE(SEARCH("Alinity c",G106)),"CC","IA")</f>
        <v>CC</v>
      </c>
      <c r="B106" s="47" t="s">
        <v>12</v>
      </c>
      <c r="C106" s="35" t="s">
        <v>409</v>
      </c>
      <c r="D106" s="25" t="s">
        <v>410</v>
      </c>
      <c r="E106" s="47" t="s">
        <v>411</v>
      </c>
      <c r="F106" s="10"/>
      <c r="G106" s="47" t="s">
        <v>412</v>
      </c>
      <c r="H106" s="47">
        <v>500</v>
      </c>
      <c r="I106" s="47" t="s">
        <v>413</v>
      </c>
      <c r="J106" s="11">
        <f>VLOOKUP(D106,[1]Sheet2!$A$5:$E$146,5,FALSE())</f>
        <v>4001.6666666666702</v>
      </c>
      <c r="K106" s="48"/>
      <c r="L106" s="8">
        <v>4600</v>
      </c>
      <c r="M106" s="26">
        <f>L106/H106</f>
        <v>9.1999999999999993</v>
      </c>
    </row>
    <row r="107" spans="1:13" x14ac:dyDescent="0.2">
      <c r="A107" s="7" t="str">
        <f>IF(_xlfn.NUMBERVALUE(SEARCH("Alinity c",G107)),"CC","IA")</f>
        <v>CC</v>
      </c>
      <c r="B107" s="7" t="s">
        <v>12</v>
      </c>
      <c r="C107" s="8" t="s">
        <v>414</v>
      </c>
      <c r="D107" s="9" t="s">
        <v>415</v>
      </c>
      <c r="E107" s="7" t="s">
        <v>416</v>
      </c>
      <c r="F107" s="10"/>
      <c r="G107" s="7" t="s">
        <v>417</v>
      </c>
      <c r="H107" s="7">
        <v>190</v>
      </c>
      <c r="I107" s="7" t="s">
        <v>95</v>
      </c>
      <c r="J107" s="11">
        <f>VLOOKUP(D107,[1]Sheet2!$A$5:$E$146,5,FALSE())</f>
        <v>167.333333333333</v>
      </c>
      <c r="K107" s="7"/>
      <c r="L107" s="8">
        <v>190</v>
      </c>
      <c r="M107" s="12">
        <f>L107/H107</f>
        <v>1</v>
      </c>
    </row>
    <row r="108" spans="1:13" ht="68.25" x14ac:dyDescent="0.2">
      <c r="A108" s="7" t="str">
        <f>IF(_xlfn.NUMBERVALUE(SEARCH("Alinity c",G108)),"CC","IA")</f>
        <v>CC</v>
      </c>
      <c r="B108" s="7" t="s">
        <v>12</v>
      </c>
      <c r="C108" s="8" t="s">
        <v>418</v>
      </c>
      <c r="D108" s="9" t="s">
        <v>419</v>
      </c>
      <c r="E108" s="7" t="s">
        <v>420</v>
      </c>
      <c r="F108" s="10"/>
      <c r="G108" s="7" t="s">
        <v>421</v>
      </c>
      <c r="H108" s="49">
        <v>3600</v>
      </c>
      <c r="I108" s="49" t="s">
        <v>422</v>
      </c>
      <c r="J108" s="11" t="e">
        <f>VLOOKUP(D108,[1]Sheet2!$A$5:$E$146,5,FALSE())</f>
        <v>#N/A</v>
      </c>
      <c r="K108" s="49"/>
      <c r="L108" s="8">
        <v>3600</v>
      </c>
      <c r="M108" s="12">
        <f>L108/H108</f>
        <v>1</v>
      </c>
    </row>
    <row r="109" spans="1:13" x14ac:dyDescent="0.2">
      <c r="A109" s="7" t="str">
        <f>IF(_xlfn.NUMBERVALUE(SEARCH("Alinity c",G109)),"CC","IA")</f>
        <v>CC</v>
      </c>
      <c r="B109" s="7" t="s">
        <v>12</v>
      </c>
      <c r="C109" s="8" t="s">
        <v>423</v>
      </c>
      <c r="D109" s="9" t="s">
        <v>424</v>
      </c>
      <c r="E109" s="7" t="s">
        <v>425</v>
      </c>
      <c r="F109" s="10"/>
      <c r="G109" s="7" t="s">
        <v>426</v>
      </c>
      <c r="H109" s="7">
        <v>400</v>
      </c>
      <c r="I109" s="7" t="s">
        <v>61</v>
      </c>
      <c r="J109" s="11">
        <f>VLOOKUP(D109,[1]Sheet2!$A$5:$E$146,5,FALSE())</f>
        <v>406.33333333333297</v>
      </c>
      <c r="K109" s="7"/>
      <c r="L109" s="8">
        <v>500</v>
      </c>
      <c r="M109" s="12">
        <f>L109/H109</f>
        <v>1.25</v>
      </c>
    </row>
    <row r="110" spans="1:13" x14ac:dyDescent="0.2">
      <c r="A110" s="7" t="s">
        <v>52</v>
      </c>
      <c r="B110" s="7" t="s">
        <v>12</v>
      </c>
      <c r="C110" s="8" t="s">
        <v>427</v>
      </c>
      <c r="D110" s="9" t="s">
        <v>428</v>
      </c>
      <c r="E110" s="7" t="s">
        <v>429</v>
      </c>
      <c r="F110" s="10"/>
      <c r="G110" s="7" t="s">
        <v>430</v>
      </c>
      <c r="H110" s="7">
        <v>200</v>
      </c>
      <c r="I110" s="7" t="s">
        <v>28</v>
      </c>
      <c r="J110" s="11">
        <f>VLOOKUP(D110,[1]Sheet2!$A$5:$E$146,5,FALSE())</f>
        <v>19</v>
      </c>
      <c r="K110" s="7"/>
      <c r="L110" s="8">
        <v>50</v>
      </c>
      <c r="M110" s="12">
        <f>L110/H110</f>
        <v>0.25</v>
      </c>
    </row>
    <row r="111" spans="1:13" x14ac:dyDescent="0.2">
      <c r="A111" s="7" t="s">
        <v>52</v>
      </c>
      <c r="B111" s="7" t="s">
        <v>12</v>
      </c>
      <c r="C111" s="2" t="s">
        <v>431</v>
      </c>
      <c r="D111" s="9" t="s">
        <v>432</v>
      </c>
      <c r="E111" s="7" t="s">
        <v>433</v>
      </c>
      <c r="F111" s="10"/>
      <c r="G111" s="7" t="s">
        <v>434</v>
      </c>
      <c r="H111" s="7">
        <v>1000</v>
      </c>
      <c r="I111" s="7" t="s">
        <v>81</v>
      </c>
      <c r="J111" s="11">
        <f>VLOOKUP(D111,[1]Sheet2!$A$5:$E$146,5,FALSE())</f>
        <v>732.33333333333303</v>
      </c>
      <c r="K111" s="7"/>
      <c r="L111" s="8">
        <v>1000</v>
      </c>
      <c r="M111" s="12">
        <f>L111/H111</f>
        <v>1</v>
      </c>
    </row>
    <row r="112" spans="1:13" x14ac:dyDescent="0.2">
      <c r="A112" s="7" t="s">
        <v>52</v>
      </c>
      <c r="B112" s="7" t="s">
        <v>12</v>
      </c>
      <c r="C112" s="2"/>
      <c r="D112" s="15"/>
      <c r="E112" s="15" t="s">
        <v>435</v>
      </c>
      <c r="F112" s="15"/>
      <c r="G112" s="15" t="s">
        <v>434</v>
      </c>
      <c r="H112" s="15">
        <v>200</v>
      </c>
      <c r="I112" s="15" t="s">
        <v>28</v>
      </c>
      <c r="J112" s="17"/>
      <c r="K112" s="15"/>
      <c r="L112" s="18"/>
      <c r="M112" s="19"/>
    </row>
    <row r="113" spans="1:13" x14ac:dyDescent="0.2">
      <c r="A113" s="7" t="s">
        <v>52</v>
      </c>
      <c r="B113" s="7" t="s">
        <v>12</v>
      </c>
      <c r="C113" s="8" t="s">
        <v>436</v>
      </c>
      <c r="D113" s="33"/>
      <c r="E113" s="7" t="s">
        <v>437</v>
      </c>
      <c r="F113" s="10"/>
      <c r="G113" s="7" t="s">
        <v>438</v>
      </c>
      <c r="H113" s="7">
        <v>200</v>
      </c>
      <c r="I113" s="7" t="s">
        <v>28</v>
      </c>
      <c r="J113" s="11" t="e">
        <f>VLOOKUP(D113,[1]Sheet2!$A$5:$E$146,5,FALSE())</f>
        <v>#N/A</v>
      </c>
      <c r="K113" s="7"/>
      <c r="L113" s="13" t="s">
        <v>23</v>
      </c>
      <c r="M113" s="14" t="s">
        <v>23</v>
      </c>
    </row>
    <row r="114" spans="1:13" x14ac:dyDescent="0.2">
      <c r="A114" s="7" t="str">
        <f>IF(_xlfn.NUMBERVALUE(SEARCH("Alinity c",G114)),"CC","IA")</f>
        <v>CC</v>
      </c>
      <c r="B114" s="7" t="s">
        <v>12</v>
      </c>
      <c r="C114" s="8" t="s">
        <v>439</v>
      </c>
      <c r="D114" s="9" t="s">
        <v>440</v>
      </c>
      <c r="E114" s="7" t="s">
        <v>441</v>
      </c>
      <c r="F114" s="10"/>
      <c r="G114" s="7" t="s">
        <v>442</v>
      </c>
      <c r="H114" s="7">
        <v>400</v>
      </c>
      <c r="I114" s="7" t="s">
        <v>61</v>
      </c>
      <c r="J114" s="11">
        <f>VLOOKUP(D114,[1]Sheet2!$A$5:$E$146,5,FALSE())</f>
        <v>784.66666666666697</v>
      </c>
      <c r="K114" s="7"/>
      <c r="L114" s="8">
        <v>800</v>
      </c>
      <c r="M114" s="12">
        <f>L114/H114</f>
        <v>2</v>
      </c>
    </row>
    <row r="115" spans="1:13" x14ac:dyDescent="0.2">
      <c r="A115" s="24" t="s">
        <v>52</v>
      </c>
      <c r="B115" s="24" t="s">
        <v>12</v>
      </c>
      <c r="C115" s="8" t="s">
        <v>443</v>
      </c>
      <c r="D115" s="25" t="s">
        <v>444</v>
      </c>
      <c r="E115" s="24" t="s">
        <v>445</v>
      </c>
      <c r="F115" s="10"/>
      <c r="G115" s="24" t="s">
        <v>446</v>
      </c>
      <c r="H115" s="24">
        <v>200</v>
      </c>
      <c r="I115" s="24" t="s">
        <v>28</v>
      </c>
      <c r="J115" s="11">
        <f>VLOOKUP(D115,[1]Sheet2!$A$5:$E$146,5,FALSE())</f>
        <v>1002</v>
      </c>
      <c r="K115" s="24"/>
      <c r="L115" s="8">
        <v>750</v>
      </c>
      <c r="M115" s="26">
        <f>L115/H115</f>
        <v>3.75</v>
      </c>
    </row>
    <row r="116" spans="1:13" x14ac:dyDescent="0.2">
      <c r="A116" s="7" t="s">
        <v>52</v>
      </c>
      <c r="B116" s="7" t="s">
        <v>12</v>
      </c>
      <c r="C116" s="8" t="s">
        <v>447</v>
      </c>
      <c r="D116" s="9" t="s">
        <v>448</v>
      </c>
      <c r="E116" s="7" t="s">
        <v>449</v>
      </c>
      <c r="F116" s="10"/>
      <c r="G116" s="7" t="s">
        <v>450</v>
      </c>
      <c r="H116" s="7">
        <v>200</v>
      </c>
      <c r="I116" s="7" t="s">
        <v>28</v>
      </c>
      <c r="J116" s="11">
        <f>VLOOKUP(D116,[1]Sheet2!$A$5:$E$146,5,FALSE())</f>
        <v>183</v>
      </c>
      <c r="K116" s="7"/>
      <c r="L116" s="8">
        <v>200</v>
      </c>
      <c r="M116" s="12">
        <f>L116/H116</f>
        <v>1</v>
      </c>
    </row>
    <row r="117" spans="1:13" x14ac:dyDescent="0.2">
      <c r="A117" s="7" t="s">
        <v>52</v>
      </c>
      <c r="B117" s="7" t="s">
        <v>12</v>
      </c>
      <c r="C117" s="8" t="s">
        <v>451</v>
      </c>
      <c r="D117" s="9" t="s">
        <v>452</v>
      </c>
      <c r="E117" s="7" t="s">
        <v>453</v>
      </c>
      <c r="F117" s="10"/>
      <c r="G117" s="7" t="s">
        <v>454</v>
      </c>
      <c r="H117" s="7">
        <v>200</v>
      </c>
      <c r="I117" s="7" t="s">
        <v>28</v>
      </c>
      <c r="J117" s="11">
        <f>VLOOKUP(D117,[1]Sheet2!$A$5:$E$146,5,FALSE())</f>
        <v>423.66666666666703</v>
      </c>
      <c r="K117" s="7"/>
      <c r="L117" s="8">
        <v>500</v>
      </c>
      <c r="M117" s="12">
        <f>L117/H117</f>
        <v>2.5</v>
      </c>
    </row>
    <row r="118" spans="1:13" ht="68.25" x14ac:dyDescent="0.2">
      <c r="A118" s="7" t="str">
        <f>IF(_xlfn.NUMBERVALUE(SEARCH("Alinity c",G118)),"CC","IA")</f>
        <v>CC</v>
      </c>
      <c r="B118" s="7" t="s">
        <v>12</v>
      </c>
      <c r="C118" s="8" t="s">
        <v>455</v>
      </c>
      <c r="D118" s="9" t="s">
        <v>456</v>
      </c>
      <c r="E118" s="7" t="s">
        <v>457</v>
      </c>
      <c r="F118" s="10"/>
      <c r="G118" s="7" t="s">
        <v>458</v>
      </c>
      <c r="H118" s="49">
        <v>3500</v>
      </c>
      <c r="I118" s="49" t="s">
        <v>459</v>
      </c>
      <c r="J118" s="11">
        <f>VLOOKUP(D118,[1]Sheet2!$A$5:$E$146,5,FALSE())</f>
        <v>9135.6666666666697</v>
      </c>
      <c r="K118" s="49"/>
      <c r="L118" s="8">
        <v>10500</v>
      </c>
      <c r="M118" s="12">
        <f>L118/H118</f>
        <v>3</v>
      </c>
    </row>
    <row r="119" spans="1:13" x14ac:dyDescent="0.2">
      <c r="A119" s="7" t="str">
        <f>IF(_xlfn.NUMBERVALUE(SEARCH("Alinity c",G119)),"CC","IA")</f>
        <v>CC</v>
      </c>
      <c r="B119" s="7" t="s">
        <v>12</v>
      </c>
      <c r="C119" s="2" t="s">
        <v>460</v>
      </c>
      <c r="D119" s="9" t="s">
        <v>461</v>
      </c>
      <c r="E119" s="7" t="s">
        <v>462</v>
      </c>
      <c r="F119" s="10"/>
      <c r="G119" s="7" t="s">
        <v>463</v>
      </c>
      <c r="H119" s="7">
        <v>3120</v>
      </c>
      <c r="I119" s="7" t="s">
        <v>31</v>
      </c>
      <c r="J119" s="11">
        <f>VLOOKUP(D119,[1]Sheet2!$A$5:$E$146,5,FALSE())</f>
        <v>11518</v>
      </c>
      <c r="K119" s="7"/>
      <c r="L119" s="8">
        <v>12500</v>
      </c>
      <c r="M119" s="12">
        <f>L119/H119</f>
        <v>4.0064102564102564</v>
      </c>
    </row>
    <row r="120" spans="1:13" x14ac:dyDescent="0.2">
      <c r="A120" s="7" t="str">
        <f>IF(_xlfn.NUMBERVALUE(SEARCH("Alinity c",G120)),"CC","IA")</f>
        <v>CC</v>
      </c>
      <c r="B120" s="7" t="s">
        <v>12</v>
      </c>
      <c r="C120" s="2"/>
      <c r="D120" s="15"/>
      <c r="E120" s="15" t="s">
        <v>464</v>
      </c>
      <c r="F120" s="15"/>
      <c r="G120" s="15" t="s">
        <v>463</v>
      </c>
      <c r="H120" s="15">
        <v>800</v>
      </c>
      <c r="I120" s="15" t="s">
        <v>258</v>
      </c>
      <c r="J120" s="17"/>
      <c r="K120" s="15"/>
      <c r="L120" s="18"/>
      <c r="M120" s="19"/>
    </row>
    <row r="121" spans="1:13" x14ac:dyDescent="0.2">
      <c r="A121" s="7" t="str">
        <f>IF(_xlfn.NUMBERVALUE(SEARCH("Alinity c",G121)),"CC","IA")</f>
        <v>CC</v>
      </c>
      <c r="B121" s="7" t="s">
        <v>12</v>
      </c>
      <c r="C121" s="8" t="s">
        <v>465</v>
      </c>
      <c r="D121" s="9" t="s">
        <v>466</v>
      </c>
      <c r="E121" s="7" t="s">
        <v>467</v>
      </c>
      <c r="F121" s="10"/>
      <c r="G121" s="7" t="s">
        <v>468</v>
      </c>
      <c r="H121" s="7">
        <v>2500</v>
      </c>
      <c r="I121" s="7" t="s">
        <v>469</v>
      </c>
      <c r="J121" s="11">
        <f>VLOOKUP(D121,[1]Sheet2!$A$5:$E$146,5,FALSE())</f>
        <v>351</v>
      </c>
      <c r="K121" s="7"/>
      <c r="L121" s="8">
        <v>600</v>
      </c>
      <c r="M121" s="12">
        <f>L121/H121</f>
        <v>0.24</v>
      </c>
    </row>
    <row r="122" spans="1:13" x14ac:dyDescent="0.2">
      <c r="A122" s="7" t="s">
        <v>52</v>
      </c>
      <c r="B122" s="7" t="s">
        <v>12</v>
      </c>
      <c r="C122" s="8" t="s">
        <v>470</v>
      </c>
      <c r="D122" s="9" t="s">
        <v>471</v>
      </c>
      <c r="E122" s="7" t="s">
        <v>472</v>
      </c>
      <c r="F122" s="10"/>
      <c r="G122" s="7" t="s">
        <v>473</v>
      </c>
      <c r="H122" s="7">
        <v>1200</v>
      </c>
      <c r="I122" s="7" t="s">
        <v>288</v>
      </c>
      <c r="J122" s="11">
        <f>VLOOKUP(D122,[1]Sheet2!$A$5:$E$146,5,FALSE())</f>
        <v>2875.3333333333298</v>
      </c>
      <c r="K122" s="7"/>
      <c r="L122" s="8">
        <v>3500</v>
      </c>
      <c r="M122" s="12">
        <f>L122/H122</f>
        <v>2.9166666666666665</v>
      </c>
    </row>
    <row r="123" spans="1:13" x14ac:dyDescent="0.2">
      <c r="A123" s="7" t="s">
        <v>52</v>
      </c>
      <c r="B123" s="7" t="s">
        <v>12</v>
      </c>
      <c r="C123" s="8" t="s">
        <v>474</v>
      </c>
      <c r="D123" s="9" t="s">
        <v>475</v>
      </c>
      <c r="E123" s="7" t="s">
        <v>476</v>
      </c>
      <c r="F123" s="10"/>
      <c r="G123" s="7" t="s">
        <v>477</v>
      </c>
      <c r="H123" s="7">
        <v>1000</v>
      </c>
      <c r="I123" s="7" t="s">
        <v>81</v>
      </c>
      <c r="J123" s="11">
        <f>VLOOKUP(D123,[1]Sheet2!$A$5:$E$146,5,FALSE())</f>
        <v>970.33333333333303</v>
      </c>
      <c r="K123" s="7"/>
      <c r="L123" s="8">
        <v>3000</v>
      </c>
      <c r="M123" s="12">
        <f>L123/H123</f>
        <v>3</v>
      </c>
    </row>
    <row r="124" spans="1:13" x14ac:dyDescent="0.2">
      <c r="A124" s="7" t="s">
        <v>52</v>
      </c>
      <c r="B124" s="7" t="s">
        <v>12</v>
      </c>
      <c r="C124" s="8" t="s">
        <v>478</v>
      </c>
      <c r="D124" s="9" t="s">
        <v>479</v>
      </c>
      <c r="E124" s="7" t="s">
        <v>480</v>
      </c>
      <c r="F124" s="10"/>
      <c r="G124" s="7" t="s">
        <v>481</v>
      </c>
      <c r="H124" s="7">
        <v>1000</v>
      </c>
      <c r="I124" s="7" t="s">
        <v>81</v>
      </c>
      <c r="J124" s="11">
        <f>VLOOKUP(D124,[1]Sheet2!$A$5:$E$146,5,FALSE())</f>
        <v>875.66666666666697</v>
      </c>
      <c r="K124" s="7"/>
      <c r="L124" s="8">
        <v>1000</v>
      </c>
      <c r="M124" s="12">
        <f>L124/H124</f>
        <v>1</v>
      </c>
    </row>
    <row r="125" spans="1:13" x14ac:dyDescent="0.2">
      <c r="A125" s="7" t="s">
        <v>184</v>
      </c>
      <c r="B125" s="7" t="s">
        <v>12</v>
      </c>
      <c r="C125" s="8" t="s">
        <v>482</v>
      </c>
      <c r="D125" s="33"/>
      <c r="E125" s="7" t="s">
        <v>483</v>
      </c>
      <c r="F125" s="10"/>
      <c r="G125" s="7" t="s">
        <v>484</v>
      </c>
      <c r="H125" s="7">
        <v>250</v>
      </c>
      <c r="I125" s="7"/>
      <c r="J125" s="11" t="e">
        <f>VLOOKUP(D125,[1]Sheet2!$A$5:$E$146,5,FALSE())</f>
        <v>#N/A</v>
      </c>
      <c r="K125" s="7"/>
      <c r="L125" s="13" t="s">
        <v>485</v>
      </c>
      <c r="M125" s="30" t="s">
        <v>485</v>
      </c>
    </row>
    <row r="126" spans="1:13" x14ac:dyDescent="0.2">
      <c r="A126" s="7" t="s">
        <v>52</v>
      </c>
      <c r="B126" s="7" t="s">
        <v>12</v>
      </c>
      <c r="C126" s="8" t="s">
        <v>486</v>
      </c>
      <c r="D126" s="9" t="s">
        <v>486</v>
      </c>
      <c r="E126" s="7" t="s">
        <v>487</v>
      </c>
      <c r="F126" s="10"/>
      <c r="G126" s="7" t="s">
        <v>488</v>
      </c>
      <c r="H126" s="7">
        <v>200</v>
      </c>
      <c r="I126" s="7" t="s">
        <v>28</v>
      </c>
      <c r="J126" s="11">
        <f>VLOOKUP(D126,[1]Sheet2!$A$5:$E$146,5,FALSE())</f>
        <v>151.666666666667</v>
      </c>
      <c r="K126" s="7"/>
      <c r="L126" s="8">
        <v>200</v>
      </c>
      <c r="M126" s="12">
        <f>L126/H126</f>
        <v>1</v>
      </c>
    </row>
    <row r="127" spans="1:13" x14ac:dyDescent="0.2">
      <c r="A127" s="24" t="str">
        <f>IF(_xlfn.NUMBERVALUE(SEARCH("Alinity c",G127)),"CC","IA")</f>
        <v>CC</v>
      </c>
      <c r="B127" s="24" t="s">
        <v>12</v>
      </c>
      <c r="C127" s="8" t="s">
        <v>489</v>
      </c>
      <c r="D127" s="25" t="s">
        <v>490</v>
      </c>
      <c r="E127" s="24" t="s">
        <v>491</v>
      </c>
      <c r="F127" s="10"/>
      <c r="G127" s="24" t="s">
        <v>492</v>
      </c>
      <c r="H127" s="24">
        <v>900</v>
      </c>
      <c r="I127" s="24" t="s">
        <v>493</v>
      </c>
      <c r="J127" s="11">
        <f>VLOOKUP(D127,[1]Sheet2!$A$5:$E$146,5,FALSE())</f>
        <v>4757</v>
      </c>
      <c r="K127" s="24"/>
      <c r="L127" s="8">
        <v>5500</v>
      </c>
      <c r="M127" s="26">
        <f>L127/H127</f>
        <v>6.1111111111111107</v>
      </c>
    </row>
    <row r="128" spans="1:13" x14ac:dyDescent="0.2">
      <c r="A128" s="7" t="s">
        <v>52</v>
      </c>
      <c r="B128" s="7" t="s">
        <v>12</v>
      </c>
      <c r="C128" s="8" t="s">
        <v>494</v>
      </c>
      <c r="D128" s="9" t="s">
        <v>495</v>
      </c>
      <c r="E128" s="7" t="s">
        <v>496</v>
      </c>
      <c r="F128" s="10"/>
      <c r="G128" s="7" t="s">
        <v>497</v>
      </c>
      <c r="H128" s="7">
        <v>200</v>
      </c>
      <c r="I128" s="7" t="s">
        <v>28</v>
      </c>
      <c r="J128" s="11">
        <f>VLOOKUP(D128,[1]Sheet2!$A$5:$E$146,5,FALSE())</f>
        <v>642</v>
      </c>
      <c r="K128" s="7"/>
      <c r="L128" s="8">
        <v>800</v>
      </c>
      <c r="M128" s="12">
        <f>L128/H128</f>
        <v>4</v>
      </c>
    </row>
    <row r="129" spans="1:13" x14ac:dyDescent="0.2">
      <c r="A129" s="7" t="s">
        <v>52</v>
      </c>
      <c r="B129" s="7" t="s">
        <v>12</v>
      </c>
      <c r="C129" s="8" t="s">
        <v>498</v>
      </c>
      <c r="D129" s="9" t="s">
        <v>499</v>
      </c>
      <c r="E129" s="7" t="s">
        <v>500</v>
      </c>
      <c r="F129" s="10"/>
      <c r="G129" s="7" t="s">
        <v>501</v>
      </c>
      <c r="H129" s="7">
        <v>200</v>
      </c>
      <c r="I129" s="7" t="s">
        <v>28</v>
      </c>
      <c r="J129" s="11">
        <f>VLOOKUP(D129,[1]Sheet2!$A$5:$E$146,5,FALSE())</f>
        <v>14.3333333333333</v>
      </c>
      <c r="K129" s="7"/>
      <c r="L129" s="8">
        <v>50</v>
      </c>
      <c r="M129" s="12">
        <f>L129/H129</f>
        <v>0.25</v>
      </c>
    </row>
    <row r="130" spans="1:13" x14ac:dyDescent="0.2">
      <c r="A130" s="15" t="s">
        <v>52</v>
      </c>
      <c r="B130" s="15" t="s">
        <v>12</v>
      </c>
      <c r="C130" s="20" t="s">
        <v>502</v>
      </c>
      <c r="D130" s="16"/>
      <c r="E130" s="21"/>
      <c r="F130" s="15"/>
      <c r="G130" s="21"/>
      <c r="H130" s="21"/>
      <c r="I130" s="21"/>
      <c r="J130" s="17"/>
      <c r="K130" s="21"/>
      <c r="L130" s="18"/>
      <c r="M130" s="19"/>
    </row>
    <row r="131" spans="1:13" x14ac:dyDescent="0.2">
      <c r="A131" s="7" t="s">
        <v>52</v>
      </c>
      <c r="B131" s="7" t="s">
        <v>12</v>
      </c>
      <c r="C131" s="8" t="s">
        <v>503</v>
      </c>
      <c r="D131" s="33"/>
      <c r="E131" s="7" t="s">
        <v>504</v>
      </c>
      <c r="F131" s="10"/>
      <c r="G131" s="7" t="s">
        <v>505</v>
      </c>
      <c r="H131" s="7">
        <v>145</v>
      </c>
      <c r="I131" s="7"/>
      <c r="J131" s="11" t="e">
        <f>VLOOKUP(D131,[1]Sheet2!$A$5:$E$146,5,FALSE())</f>
        <v>#N/A</v>
      </c>
      <c r="K131" s="7"/>
      <c r="L131" s="13" t="s">
        <v>485</v>
      </c>
      <c r="M131" s="30" t="s">
        <v>485</v>
      </c>
    </row>
    <row r="132" spans="1:13" x14ac:dyDescent="0.2">
      <c r="A132" s="7" t="s">
        <v>52</v>
      </c>
      <c r="B132" s="7" t="s">
        <v>12</v>
      </c>
      <c r="C132" s="8" t="s">
        <v>506</v>
      </c>
      <c r="D132" s="9" t="s">
        <v>507</v>
      </c>
      <c r="E132" s="7" t="s">
        <v>508</v>
      </c>
      <c r="F132" s="10"/>
      <c r="G132" s="7" t="s">
        <v>509</v>
      </c>
      <c r="H132" s="7">
        <v>200</v>
      </c>
      <c r="I132" s="7" t="s">
        <v>28</v>
      </c>
      <c r="J132" s="11">
        <f>VLOOKUP(D132,[1]Sheet2!$A$5:$E$146,5,FALSE())</f>
        <v>163.333333333333</v>
      </c>
      <c r="K132" s="7"/>
      <c r="L132" s="8">
        <v>200</v>
      </c>
      <c r="M132" s="12">
        <f>L132/H132</f>
        <v>1</v>
      </c>
    </row>
    <row r="133" spans="1:13" x14ac:dyDescent="0.2">
      <c r="A133" s="7" t="str">
        <f>IF(_xlfn.NUMBERVALUE(SEARCH("Alinity c",G133)),"CC","IA")</f>
        <v>CC</v>
      </c>
      <c r="B133" s="7" t="s">
        <v>12</v>
      </c>
      <c r="C133" s="8" t="s">
        <v>510</v>
      </c>
      <c r="D133" s="9" t="s">
        <v>511</v>
      </c>
      <c r="E133" s="7" t="s">
        <v>512</v>
      </c>
      <c r="F133" s="10"/>
      <c r="G133" s="7" t="s">
        <v>513</v>
      </c>
      <c r="H133" s="7">
        <v>300</v>
      </c>
      <c r="I133" s="7" t="s">
        <v>227</v>
      </c>
      <c r="J133" s="11">
        <f>VLOOKUP(D133,[1]Sheet2!$A$5:$E$146,5,FALSE())</f>
        <v>170.666666666667</v>
      </c>
      <c r="K133" s="7"/>
      <c r="L133" s="8">
        <v>200</v>
      </c>
      <c r="M133" s="12">
        <f>L133/H133</f>
        <v>0.66666666666666663</v>
      </c>
    </row>
    <row r="134" spans="1:13" x14ac:dyDescent="0.2">
      <c r="A134" s="7" t="str">
        <f>IF(_xlfn.NUMBERVALUE(SEARCH("Alinity c",G134)),"CC","IA")</f>
        <v>CC</v>
      </c>
      <c r="B134" s="7" t="s">
        <v>12</v>
      </c>
      <c r="C134" s="8" t="s">
        <v>514</v>
      </c>
      <c r="D134" s="9" t="s">
        <v>515</v>
      </c>
      <c r="E134" s="7" t="s">
        <v>516</v>
      </c>
      <c r="F134" s="10"/>
      <c r="G134" s="7" t="s">
        <v>517</v>
      </c>
      <c r="H134" s="7">
        <v>200</v>
      </c>
      <c r="I134" s="7" t="s">
        <v>28</v>
      </c>
      <c r="J134" s="11">
        <f>VLOOKUP(D134,[1]Sheet2!$A$5:$E$146,5,FALSE())</f>
        <v>100</v>
      </c>
      <c r="K134" s="7"/>
      <c r="L134" s="8">
        <v>100</v>
      </c>
      <c r="M134" s="12">
        <f>L134/H134</f>
        <v>0.5</v>
      </c>
    </row>
    <row r="135" spans="1:13" x14ac:dyDescent="0.2">
      <c r="A135" s="7" t="s">
        <v>52</v>
      </c>
      <c r="B135" s="7" t="s">
        <v>12</v>
      </c>
      <c r="C135" s="8" t="s">
        <v>518</v>
      </c>
      <c r="D135" s="9" t="s">
        <v>519</v>
      </c>
      <c r="E135" s="7" t="s">
        <v>520</v>
      </c>
      <c r="F135" s="10"/>
      <c r="G135" s="7" t="s">
        <v>521</v>
      </c>
      <c r="H135" s="7">
        <v>200</v>
      </c>
      <c r="I135" s="7" t="s">
        <v>28</v>
      </c>
      <c r="J135" s="11">
        <f>VLOOKUP(D135,[1]Sheet2!$A$5:$E$146,5,FALSE())</f>
        <v>410.66666666666703</v>
      </c>
      <c r="K135" s="7"/>
      <c r="L135" s="8">
        <v>500</v>
      </c>
      <c r="M135" s="12">
        <f>L135/H135</f>
        <v>2.5</v>
      </c>
    </row>
    <row r="136" spans="1:13" x14ac:dyDescent="0.2">
      <c r="A136" s="27" t="s">
        <v>52</v>
      </c>
      <c r="B136" s="27" t="s">
        <v>12</v>
      </c>
      <c r="C136" s="13" t="s">
        <v>522</v>
      </c>
      <c r="D136" s="50"/>
      <c r="E136" s="27" t="s">
        <v>523</v>
      </c>
      <c r="F136" s="10"/>
      <c r="G136" s="27" t="s">
        <v>524</v>
      </c>
      <c r="H136" s="27">
        <v>200</v>
      </c>
      <c r="I136" s="27" t="s">
        <v>28</v>
      </c>
      <c r="J136" s="11" t="e">
        <f>VLOOKUP(D136,[1]Sheet2!$A$5:$E$146,5,FALSE())</f>
        <v>#N/A</v>
      </c>
      <c r="K136" s="27"/>
      <c r="L136" s="13" t="s">
        <v>525</v>
      </c>
      <c r="M136" s="30" t="s">
        <v>525</v>
      </c>
    </row>
    <row r="137" spans="1:13" x14ac:dyDescent="0.2">
      <c r="A137" s="24" t="str">
        <f>IF(_xlfn.NUMBERVALUE(SEARCH("Alinity c",G137)),"CC","IA")</f>
        <v>CC</v>
      </c>
      <c r="B137" s="24" t="s">
        <v>12</v>
      </c>
      <c r="C137" s="8" t="s">
        <v>526</v>
      </c>
      <c r="D137" s="25" t="s">
        <v>527</v>
      </c>
      <c r="E137" s="24" t="s">
        <v>528</v>
      </c>
      <c r="F137" s="10"/>
      <c r="G137" s="24" t="s">
        <v>529</v>
      </c>
      <c r="H137" s="24">
        <v>3500</v>
      </c>
      <c r="I137" s="24" t="s">
        <v>133</v>
      </c>
      <c r="J137" s="11">
        <f>VLOOKUP(D137,[1]Sheet2!$A$5:$E$146,5,FALSE())</f>
        <v>14228.333333333299</v>
      </c>
      <c r="K137" s="24"/>
      <c r="L137" s="8">
        <v>16000</v>
      </c>
      <c r="M137" s="26">
        <f>L137/H137</f>
        <v>4.5714285714285712</v>
      </c>
    </row>
    <row r="138" spans="1:13" x14ac:dyDescent="0.2">
      <c r="A138" s="24" t="str">
        <f>IF(_xlfn.NUMBERVALUE(SEARCH("Alinity c",G138)),"CC","IA")</f>
        <v>CC</v>
      </c>
      <c r="B138" s="24" t="s">
        <v>12</v>
      </c>
      <c r="C138" s="8" t="s">
        <v>530</v>
      </c>
      <c r="D138" s="25" t="s">
        <v>531</v>
      </c>
      <c r="E138" s="24" t="s">
        <v>532</v>
      </c>
      <c r="F138" s="10"/>
      <c r="G138" s="24" t="s">
        <v>533</v>
      </c>
      <c r="H138" s="24">
        <v>3000</v>
      </c>
      <c r="I138" s="24" t="s">
        <v>534</v>
      </c>
      <c r="J138" s="11">
        <f>VLOOKUP(D138,[1]Sheet2!$A$5:$E$146,5,FALSE())</f>
        <v>15328</v>
      </c>
      <c r="K138" s="24"/>
      <c r="L138" s="8">
        <v>16500</v>
      </c>
      <c r="M138" s="26">
        <f>L138/H138</f>
        <v>5.5</v>
      </c>
    </row>
    <row r="139" spans="1:13" x14ac:dyDescent="0.2">
      <c r="A139" s="7" t="str">
        <f>IF(_xlfn.NUMBERVALUE(SEARCH("Alinity c",G139)),"CC","IA")</f>
        <v>CC</v>
      </c>
      <c r="B139" s="7" t="s">
        <v>12</v>
      </c>
      <c r="C139" s="8" t="s">
        <v>535</v>
      </c>
      <c r="D139" s="9" t="s">
        <v>536</v>
      </c>
      <c r="E139" s="7" t="s">
        <v>537</v>
      </c>
      <c r="F139" s="10"/>
      <c r="G139" s="7" t="s">
        <v>538</v>
      </c>
      <c r="H139" s="7">
        <v>800</v>
      </c>
      <c r="I139" s="7" t="s">
        <v>539</v>
      </c>
      <c r="J139" s="11">
        <f>VLOOKUP(D139,[1]Sheet2!$A$5:$E$146,5,FALSE())</f>
        <v>1419.3333333333301</v>
      </c>
      <c r="K139" s="7"/>
      <c r="L139" s="8">
        <v>1600</v>
      </c>
      <c r="M139" s="12">
        <f>L139/H139</f>
        <v>2</v>
      </c>
    </row>
    <row r="140" spans="1:13" x14ac:dyDescent="0.2">
      <c r="A140" s="24" t="str">
        <f>IF(_xlfn.NUMBERVALUE(SEARCH("Alinity c",G140)),"CC","IA")</f>
        <v>CC</v>
      </c>
      <c r="B140" s="24" t="s">
        <v>12</v>
      </c>
      <c r="C140" s="8" t="s">
        <v>540</v>
      </c>
      <c r="D140" s="25" t="s">
        <v>541</v>
      </c>
      <c r="E140" s="24" t="s">
        <v>542</v>
      </c>
      <c r="F140" s="10"/>
      <c r="G140" s="24" t="s">
        <v>543</v>
      </c>
      <c r="H140" s="24">
        <v>1400</v>
      </c>
      <c r="I140" s="24" t="s">
        <v>544</v>
      </c>
      <c r="J140" s="11">
        <f>VLOOKUP(D140,[1]Sheet2!$A$5:$E$146,5,FALSE())</f>
        <v>8960.3333333333303</v>
      </c>
      <c r="K140" s="24"/>
      <c r="L140" s="8">
        <v>10000</v>
      </c>
      <c r="M140" s="26">
        <f>L140/H140</f>
        <v>7.1428571428571432</v>
      </c>
    </row>
    <row r="141" spans="1:13" x14ac:dyDescent="0.2">
      <c r="A141" s="7" t="s">
        <v>52</v>
      </c>
      <c r="B141" s="7" t="s">
        <v>12</v>
      </c>
      <c r="C141" s="2" t="s">
        <v>545</v>
      </c>
      <c r="D141" s="9" t="s">
        <v>546</v>
      </c>
      <c r="E141" s="7" t="s">
        <v>547</v>
      </c>
      <c r="F141" s="10"/>
      <c r="G141" s="7" t="s">
        <v>548</v>
      </c>
      <c r="H141" s="7">
        <v>1200</v>
      </c>
      <c r="I141" s="7" t="s">
        <v>288</v>
      </c>
      <c r="J141" s="11">
        <f>VLOOKUP(D141,[1]Sheet2!$A$5:$E$146,5,FALSE())</f>
        <v>3267.6666666666702</v>
      </c>
      <c r="K141" s="7"/>
      <c r="L141" s="8">
        <v>3600</v>
      </c>
      <c r="M141" s="12">
        <f>L141/H141</f>
        <v>3</v>
      </c>
    </row>
    <row r="142" spans="1:13" x14ac:dyDescent="0.2">
      <c r="A142" s="7" t="s">
        <v>52</v>
      </c>
      <c r="B142" s="7" t="s">
        <v>12</v>
      </c>
      <c r="C142" s="2"/>
      <c r="D142" s="15"/>
      <c r="E142" s="15" t="s">
        <v>549</v>
      </c>
      <c r="F142" s="15"/>
      <c r="G142" s="15" t="s">
        <v>548</v>
      </c>
      <c r="H142" s="15">
        <v>200</v>
      </c>
      <c r="I142" s="15" t="s">
        <v>28</v>
      </c>
      <c r="J142" s="17"/>
      <c r="K142" s="15"/>
      <c r="L142" s="18"/>
      <c r="M142" s="19"/>
    </row>
    <row r="143" spans="1:13" x14ac:dyDescent="0.2">
      <c r="A143" s="24" t="s">
        <v>52</v>
      </c>
      <c r="B143" s="24" t="s">
        <v>12</v>
      </c>
      <c r="C143" s="8" t="s">
        <v>550</v>
      </c>
      <c r="D143" s="25" t="s">
        <v>550</v>
      </c>
      <c r="E143" s="24" t="s">
        <v>551</v>
      </c>
      <c r="F143" s="10"/>
      <c r="G143" s="24" t="s">
        <v>552</v>
      </c>
      <c r="H143" s="24">
        <v>1200</v>
      </c>
      <c r="I143" s="24" t="s">
        <v>288</v>
      </c>
      <c r="J143" s="11">
        <f>VLOOKUP(D143,[1]Sheet2!$A$5:$E$146,5,FALSE())</f>
        <v>5621.6666666666697</v>
      </c>
      <c r="K143" s="24"/>
      <c r="L143" s="8">
        <v>6000</v>
      </c>
      <c r="M143" s="26">
        <f>L143/H143</f>
        <v>5</v>
      </c>
    </row>
    <row r="144" spans="1:13" x14ac:dyDescent="0.2">
      <c r="A144" s="37" t="s">
        <v>52</v>
      </c>
      <c r="B144" s="37" t="s">
        <v>12</v>
      </c>
      <c r="C144" s="43" t="s">
        <v>553</v>
      </c>
      <c r="D144" s="44"/>
      <c r="E144" s="37" t="s">
        <v>554</v>
      </c>
      <c r="F144" s="10"/>
      <c r="G144" s="37" t="s">
        <v>555</v>
      </c>
      <c r="H144" s="7">
        <v>200</v>
      </c>
      <c r="I144" s="7" t="s">
        <v>28</v>
      </c>
      <c r="J144" s="11" t="e">
        <f>VLOOKUP(D144,[1]Sheet2!$A$5:$E$146,5,FALSE())</f>
        <v>#N/A</v>
      </c>
      <c r="K144" s="7"/>
      <c r="L144" s="13" t="s">
        <v>485</v>
      </c>
      <c r="M144" s="14" t="s">
        <v>485</v>
      </c>
    </row>
    <row r="145" spans="1:13" ht="24.75" x14ac:dyDescent="0.2">
      <c r="A145" s="24" t="str">
        <f>IF(_xlfn.NUMBERVALUE(SEARCH("Alinity c",G145)),"CC","IA")</f>
        <v>CC</v>
      </c>
      <c r="B145" s="24" t="s">
        <v>12</v>
      </c>
      <c r="C145" s="8" t="s">
        <v>556</v>
      </c>
      <c r="D145" s="25" t="s">
        <v>557</v>
      </c>
      <c r="E145" s="24" t="s">
        <v>558</v>
      </c>
      <c r="F145" s="10"/>
      <c r="G145" s="24" t="s">
        <v>559</v>
      </c>
      <c r="H145" s="24">
        <v>2000</v>
      </c>
      <c r="I145" s="24" t="s">
        <v>403</v>
      </c>
      <c r="J145" s="11">
        <v>6400</v>
      </c>
      <c r="K145" s="24"/>
      <c r="L145" s="8">
        <v>7000</v>
      </c>
      <c r="M145" s="26">
        <f>L145/H145</f>
        <v>3.5</v>
      </c>
    </row>
    <row r="146" spans="1:13" x14ac:dyDescent="0.2">
      <c r="A146" s="7" t="s">
        <v>52</v>
      </c>
      <c r="B146" s="7" t="s">
        <v>12</v>
      </c>
      <c r="C146" s="8" t="s">
        <v>560</v>
      </c>
      <c r="D146" s="9" t="s">
        <v>561</v>
      </c>
      <c r="E146" s="7" t="s">
        <v>562</v>
      </c>
      <c r="F146" s="10"/>
      <c r="G146" s="7" t="s">
        <v>563</v>
      </c>
      <c r="H146" s="7">
        <v>1200</v>
      </c>
      <c r="I146" s="7" t="s">
        <v>288</v>
      </c>
      <c r="J146" s="11">
        <f>VLOOKUP(D146,[1]Sheet2!$A$5:$E$146,5,FALSE())</f>
        <v>1977.6666666666699</v>
      </c>
      <c r="K146" s="7"/>
      <c r="L146" s="8">
        <v>2400</v>
      </c>
      <c r="M146" s="12">
        <f>L146/H146</f>
        <v>2</v>
      </c>
    </row>
    <row r="147" spans="1:13" x14ac:dyDescent="0.2">
      <c r="A147" s="24" t="s">
        <v>52</v>
      </c>
      <c r="B147" s="24" t="s">
        <v>12</v>
      </c>
      <c r="C147" s="8" t="s">
        <v>564</v>
      </c>
      <c r="D147" s="25" t="s">
        <v>565</v>
      </c>
      <c r="E147" s="24" t="s">
        <v>566</v>
      </c>
      <c r="F147" s="10"/>
      <c r="G147" s="24" t="s">
        <v>567</v>
      </c>
      <c r="H147" s="24">
        <v>1000</v>
      </c>
      <c r="I147" s="24" t="s">
        <v>81</v>
      </c>
      <c r="J147" s="11">
        <f>VLOOKUP(D147,[1]Sheet2!$A$5:$E$146,5,FALSE())</f>
        <v>4695.6666666666697</v>
      </c>
      <c r="K147" s="24"/>
      <c r="L147" s="8">
        <v>5000</v>
      </c>
      <c r="M147" s="26">
        <f>L147/H147</f>
        <v>5</v>
      </c>
    </row>
    <row r="148" spans="1:13" x14ac:dyDescent="0.2">
      <c r="A148" s="7" t="s">
        <v>184</v>
      </c>
      <c r="B148" s="7" t="s">
        <v>12</v>
      </c>
      <c r="C148" s="8" t="s">
        <v>568</v>
      </c>
      <c r="D148" s="33"/>
      <c r="E148" s="7" t="s">
        <v>569</v>
      </c>
      <c r="F148" s="10"/>
      <c r="G148" s="7" t="s">
        <v>570</v>
      </c>
      <c r="H148" s="7">
        <v>250</v>
      </c>
      <c r="I148" s="7">
        <v>250</v>
      </c>
      <c r="J148" s="7"/>
      <c r="K148" s="7"/>
      <c r="L148" s="13" t="s">
        <v>485</v>
      </c>
      <c r="M148" s="14" t="s">
        <v>485</v>
      </c>
    </row>
    <row r="149" spans="1:13" x14ac:dyDescent="0.2">
      <c r="A149" s="51" t="s">
        <v>52</v>
      </c>
      <c r="B149" s="51" t="s">
        <v>571</v>
      </c>
      <c r="C149" s="52" t="s">
        <v>572</v>
      </c>
      <c r="D149" s="53"/>
      <c r="E149" s="51" t="s">
        <v>573</v>
      </c>
      <c r="F149" s="54"/>
      <c r="G149" s="51" t="s">
        <v>574</v>
      </c>
      <c r="H149" s="51">
        <v>200</v>
      </c>
      <c r="I149" s="51" t="s">
        <v>28</v>
      </c>
      <c r="J149" s="7"/>
      <c r="K149" s="51"/>
      <c r="L149" s="13" t="s">
        <v>485</v>
      </c>
      <c r="M149" s="14" t="s">
        <v>485</v>
      </c>
    </row>
    <row r="150" spans="1:13" x14ac:dyDescent="0.2">
      <c r="A150" s="51" t="s">
        <v>52</v>
      </c>
      <c r="B150" s="51" t="s">
        <v>571</v>
      </c>
      <c r="C150" s="52" t="s">
        <v>575</v>
      </c>
      <c r="D150" s="53"/>
      <c r="E150" s="51" t="s">
        <v>576</v>
      </c>
      <c r="F150" s="54"/>
      <c r="G150" s="51" t="s">
        <v>577</v>
      </c>
      <c r="H150" s="51">
        <v>200</v>
      </c>
      <c r="I150" s="51" t="s">
        <v>28</v>
      </c>
      <c r="J150" s="7"/>
      <c r="K150" s="51"/>
      <c r="L150" s="13" t="s">
        <v>485</v>
      </c>
      <c r="M150" s="14" t="s">
        <v>485</v>
      </c>
    </row>
    <row r="151" spans="1:13" x14ac:dyDescent="0.2">
      <c r="A151" s="51" t="s">
        <v>52</v>
      </c>
      <c r="B151" s="51" t="s">
        <v>571</v>
      </c>
      <c r="C151" s="52" t="s">
        <v>578</v>
      </c>
      <c r="D151" s="53"/>
      <c r="E151" s="51" t="s">
        <v>579</v>
      </c>
      <c r="F151" s="54"/>
      <c r="G151" s="51" t="s">
        <v>580</v>
      </c>
      <c r="H151" s="51">
        <v>200</v>
      </c>
      <c r="I151" s="51" t="s">
        <v>28</v>
      </c>
      <c r="J151" s="7"/>
      <c r="K151" s="51"/>
      <c r="L151" s="13" t="s">
        <v>485</v>
      </c>
      <c r="M151" s="14" t="s">
        <v>485</v>
      </c>
    </row>
    <row r="152" spans="1:13" x14ac:dyDescent="0.2">
      <c r="A152" s="51" t="s">
        <v>52</v>
      </c>
      <c r="B152" s="51" t="s">
        <v>571</v>
      </c>
      <c r="C152" s="52" t="s">
        <v>581</v>
      </c>
      <c r="D152" s="53"/>
      <c r="E152" s="51" t="s">
        <v>582</v>
      </c>
      <c r="F152" s="54"/>
      <c r="G152" s="51" t="s">
        <v>583</v>
      </c>
      <c r="H152" s="51">
        <v>200</v>
      </c>
      <c r="I152" s="51" t="s">
        <v>28</v>
      </c>
      <c r="J152" s="7"/>
      <c r="K152" s="51"/>
      <c r="L152" s="13" t="s">
        <v>485</v>
      </c>
      <c r="M152" s="14" t="s">
        <v>485</v>
      </c>
    </row>
    <row r="153" spans="1:13" x14ac:dyDescent="0.2">
      <c r="A153" s="51" t="s">
        <v>52</v>
      </c>
      <c r="B153" s="51" t="s">
        <v>571</v>
      </c>
      <c r="C153" s="52" t="s">
        <v>584</v>
      </c>
      <c r="D153" s="53"/>
      <c r="E153" s="51" t="s">
        <v>585</v>
      </c>
      <c r="F153" s="54"/>
      <c r="G153" s="51" t="s">
        <v>586</v>
      </c>
      <c r="H153" s="51">
        <v>200</v>
      </c>
      <c r="I153" s="51" t="s">
        <v>28</v>
      </c>
      <c r="J153" s="7"/>
      <c r="K153" s="51"/>
      <c r="L153" s="13" t="s">
        <v>485</v>
      </c>
      <c r="M153" s="14" t="s">
        <v>485</v>
      </c>
    </row>
    <row r="154" spans="1:13" x14ac:dyDescent="0.2">
      <c r="A154" s="51" t="s">
        <v>52</v>
      </c>
      <c r="B154" s="51" t="s">
        <v>571</v>
      </c>
      <c r="C154" s="52" t="s">
        <v>587</v>
      </c>
      <c r="D154" s="53"/>
      <c r="E154" s="51" t="s">
        <v>588</v>
      </c>
      <c r="F154" s="54"/>
      <c r="G154" s="51" t="s">
        <v>589</v>
      </c>
      <c r="H154" s="51">
        <v>200</v>
      </c>
      <c r="I154" s="51" t="s">
        <v>28</v>
      </c>
      <c r="J154" s="7"/>
      <c r="K154" s="51"/>
      <c r="L154" s="13" t="s">
        <v>485</v>
      </c>
      <c r="M154" s="14" t="s">
        <v>485</v>
      </c>
    </row>
    <row r="155" spans="1:13" x14ac:dyDescent="0.2">
      <c r="A155" s="51" t="s">
        <v>52</v>
      </c>
      <c r="B155" s="51" t="s">
        <v>571</v>
      </c>
      <c r="C155" s="52" t="s">
        <v>590</v>
      </c>
      <c r="D155" s="53"/>
      <c r="E155" s="51" t="s">
        <v>591</v>
      </c>
      <c r="F155" s="54"/>
      <c r="G155" s="51" t="s">
        <v>592</v>
      </c>
      <c r="H155" s="51">
        <v>200</v>
      </c>
      <c r="I155" s="51" t="s">
        <v>28</v>
      </c>
      <c r="J155" s="7"/>
      <c r="K155" s="51"/>
      <c r="L155" s="13" t="s">
        <v>485</v>
      </c>
      <c r="M155" s="14" t="s">
        <v>485</v>
      </c>
    </row>
    <row r="156" spans="1:13" x14ac:dyDescent="0.2">
      <c r="A156" s="51" t="s">
        <v>52</v>
      </c>
      <c r="B156" s="51" t="s">
        <v>571</v>
      </c>
      <c r="C156" s="52" t="s">
        <v>593</v>
      </c>
      <c r="D156" s="53"/>
      <c r="E156" s="51" t="s">
        <v>594</v>
      </c>
      <c r="F156" s="54"/>
      <c r="G156" s="51" t="s">
        <v>595</v>
      </c>
      <c r="H156" s="51">
        <v>200</v>
      </c>
      <c r="I156" s="51" t="s">
        <v>28</v>
      </c>
      <c r="J156" s="7"/>
      <c r="K156" s="51"/>
      <c r="L156" s="13" t="s">
        <v>485</v>
      </c>
      <c r="M156" s="14" t="s">
        <v>485</v>
      </c>
    </row>
    <row r="157" spans="1:13" x14ac:dyDescent="0.2">
      <c r="A157" s="51" t="s">
        <v>52</v>
      </c>
      <c r="B157" s="51" t="s">
        <v>571</v>
      </c>
      <c r="C157" s="52" t="s">
        <v>596</v>
      </c>
      <c r="D157" s="53"/>
      <c r="E157" s="51" t="s">
        <v>597</v>
      </c>
      <c r="F157" s="54"/>
      <c r="G157" s="51" t="s">
        <v>598</v>
      </c>
      <c r="H157" s="51">
        <v>200</v>
      </c>
      <c r="I157" s="51" t="s">
        <v>28</v>
      </c>
      <c r="J157" s="7"/>
      <c r="K157" s="51"/>
      <c r="L157" s="13" t="s">
        <v>485</v>
      </c>
      <c r="M157" s="14" t="s">
        <v>485</v>
      </c>
    </row>
    <row r="158" spans="1:13" x14ac:dyDescent="0.2">
      <c r="A158" s="55" t="s">
        <v>52</v>
      </c>
      <c r="B158" s="55" t="s">
        <v>599</v>
      </c>
      <c r="C158" s="56"/>
      <c r="D158" s="56"/>
      <c r="E158" s="55" t="s">
        <v>600</v>
      </c>
      <c r="F158" s="10"/>
      <c r="G158" s="55" t="s">
        <v>601</v>
      </c>
      <c r="H158" s="55" t="s">
        <v>602</v>
      </c>
      <c r="I158" s="55"/>
      <c r="J158" s="7"/>
      <c r="K158" s="55"/>
      <c r="L158" s="56"/>
      <c r="M158" s="57">
        <v>75</v>
      </c>
    </row>
    <row r="159" spans="1:13" x14ac:dyDescent="0.2">
      <c r="A159" s="7" t="s">
        <v>52</v>
      </c>
      <c r="B159" s="7" t="s">
        <v>599</v>
      </c>
      <c r="C159" s="8"/>
      <c r="D159" s="33"/>
      <c r="E159" s="7" t="s">
        <v>603</v>
      </c>
      <c r="F159" s="10"/>
      <c r="G159" s="7" t="s">
        <v>604</v>
      </c>
      <c r="H159" s="7" t="s">
        <v>605</v>
      </c>
      <c r="I159" s="7"/>
      <c r="J159" s="7"/>
      <c r="K159" s="7"/>
      <c r="L159" s="33"/>
      <c r="M159" s="58" t="s">
        <v>606</v>
      </c>
    </row>
    <row r="160" spans="1:13" x14ac:dyDescent="0.2">
      <c r="A160" s="7" t="s">
        <v>52</v>
      </c>
      <c r="B160" s="7" t="s">
        <v>599</v>
      </c>
      <c r="C160" s="8"/>
      <c r="D160" s="33"/>
      <c r="E160" s="7" t="s">
        <v>607</v>
      </c>
      <c r="F160" s="10"/>
      <c r="G160" s="7" t="s">
        <v>608</v>
      </c>
      <c r="H160" s="7" t="s">
        <v>609</v>
      </c>
      <c r="I160" s="7"/>
      <c r="J160" s="7"/>
      <c r="K160" s="7"/>
      <c r="L160" s="33"/>
      <c r="M160" s="59">
        <v>2</v>
      </c>
    </row>
    <row r="161" spans="1:13" x14ac:dyDescent="0.2">
      <c r="A161" s="7" t="s">
        <v>52</v>
      </c>
      <c r="B161" s="7" t="s">
        <v>599</v>
      </c>
      <c r="C161" s="8"/>
      <c r="D161" s="33"/>
      <c r="E161" s="7" t="s">
        <v>610</v>
      </c>
      <c r="F161" s="10"/>
      <c r="G161" s="7" t="s">
        <v>611</v>
      </c>
      <c r="H161" s="7" t="s">
        <v>612</v>
      </c>
      <c r="I161" s="7"/>
      <c r="J161" s="7"/>
      <c r="K161" s="7"/>
      <c r="L161" s="33"/>
      <c r="M161" s="59" t="s">
        <v>525</v>
      </c>
    </row>
    <row r="162" spans="1:13" x14ac:dyDescent="0.2">
      <c r="A162" s="7" t="s">
        <v>52</v>
      </c>
      <c r="B162" s="7" t="s">
        <v>599</v>
      </c>
      <c r="C162" s="8"/>
      <c r="D162" s="33"/>
      <c r="E162" s="7" t="s">
        <v>613</v>
      </c>
      <c r="F162" s="10"/>
      <c r="G162" s="7" t="s">
        <v>614</v>
      </c>
      <c r="H162" s="7" t="s">
        <v>615</v>
      </c>
      <c r="I162" s="7"/>
      <c r="J162" s="7"/>
      <c r="K162" s="7"/>
      <c r="L162" s="33"/>
      <c r="M162" s="59" t="s">
        <v>525</v>
      </c>
    </row>
    <row r="163" spans="1:13" x14ac:dyDescent="0.2">
      <c r="A163" s="7" t="s">
        <v>52</v>
      </c>
      <c r="B163" s="7" t="s">
        <v>599</v>
      </c>
      <c r="C163" s="8"/>
      <c r="D163" s="33"/>
      <c r="E163" s="7" t="s">
        <v>616</v>
      </c>
      <c r="F163" s="10"/>
      <c r="G163" s="7" t="s">
        <v>617</v>
      </c>
      <c r="H163" s="7" t="s">
        <v>618</v>
      </c>
      <c r="I163" s="7"/>
      <c r="J163" s="7"/>
      <c r="K163" s="7"/>
      <c r="L163" s="33"/>
      <c r="M163" s="59" t="s">
        <v>525</v>
      </c>
    </row>
    <row r="164" spans="1:13" x14ac:dyDescent="0.2">
      <c r="A164" s="7" t="s">
        <v>52</v>
      </c>
      <c r="B164" s="7" t="s">
        <v>599</v>
      </c>
      <c r="C164" s="8"/>
      <c r="D164" s="33"/>
      <c r="E164" s="7" t="s">
        <v>619</v>
      </c>
      <c r="F164" s="10"/>
      <c r="G164" s="7" t="s">
        <v>620</v>
      </c>
      <c r="H164" s="7" t="s">
        <v>605</v>
      </c>
      <c r="I164" s="7"/>
      <c r="J164" s="7"/>
      <c r="K164" s="7"/>
      <c r="L164" s="33"/>
      <c r="M164" s="59">
        <v>18</v>
      </c>
    </row>
    <row r="165" spans="1:13" x14ac:dyDescent="0.2">
      <c r="A165" s="7" t="s">
        <v>52</v>
      </c>
      <c r="B165" s="7" t="s">
        <v>599</v>
      </c>
      <c r="C165" s="8"/>
      <c r="D165" s="33"/>
      <c r="E165" s="7" t="s">
        <v>621</v>
      </c>
      <c r="F165" s="10"/>
      <c r="G165" s="7" t="s">
        <v>622</v>
      </c>
      <c r="H165" s="7" t="s">
        <v>623</v>
      </c>
      <c r="I165" s="7"/>
      <c r="J165" s="7"/>
      <c r="K165" s="7"/>
      <c r="L165" s="33"/>
      <c r="M165" s="59" t="s">
        <v>525</v>
      </c>
    </row>
    <row r="166" spans="1:13" x14ac:dyDescent="0.2">
      <c r="A166" s="7" t="s">
        <v>52</v>
      </c>
      <c r="B166" s="7" t="s">
        <v>599</v>
      </c>
      <c r="C166" s="8"/>
      <c r="D166" s="33"/>
      <c r="E166" s="7" t="s">
        <v>624</v>
      </c>
      <c r="F166" s="10"/>
      <c r="G166" s="7" t="s">
        <v>625</v>
      </c>
      <c r="H166" s="7" t="s">
        <v>626</v>
      </c>
      <c r="I166" s="7"/>
      <c r="J166" s="7"/>
      <c r="K166" s="7"/>
      <c r="L166" s="33"/>
      <c r="M166" s="59" t="s">
        <v>525</v>
      </c>
    </row>
    <row r="167" spans="1:13" x14ac:dyDescent="0.2">
      <c r="A167" s="7" t="s">
        <v>52</v>
      </c>
      <c r="B167" s="7" t="s">
        <v>599</v>
      </c>
      <c r="C167" s="8"/>
      <c r="D167" s="33"/>
      <c r="E167" s="7" t="s">
        <v>627</v>
      </c>
      <c r="F167" s="10"/>
      <c r="G167" s="7" t="s">
        <v>628</v>
      </c>
      <c r="H167" s="7" t="s">
        <v>629</v>
      </c>
      <c r="I167" s="7"/>
      <c r="J167" s="7"/>
      <c r="K167" s="7"/>
      <c r="L167" s="33"/>
      <c r="M167" s="59" t="s">
        <v>525</v>
      </c>
    </row>
    <row r="168" spans="1:13" x14ac:dyDescent="0.2">
      <c r="A168" s="7" t="s">
        <v>52</v>
      </c>
      <c r="B168" s="7" t="s">
        <v>599</v>
      </c>
      <c r="C168" s="8"/>
      <c r="D168" s="33"/>
      <c r="E168" s="7" t="s">
        <v>630</v>
      </c>
      <c r="F168" s="10"/>
      <c r="G168" s="7" t="s">
        <v>631</v>
      </c>
      <c r="H168" s="7" t="s">
        <v>626</v>
      </c>
      <c r="I168" s="7"/>
      <c r="J168" s="7"/>
      <c r="K168" s="7"/>
      <c r="L168" s="33"/>
      <c r="M168" s="59" t="s">
        <v>525</v>
      </c>
    </row>
    <row r="169" spans="1:13" x14ac:dyDescent="0.2">
      <c r="A169" s="7" t="s">
        <v>52</v>
      </c>
      <c r="B169" s="7" t="s">
        <v>599</v>
      </c>
      <c r="C169" s="8"/>
      <c r="D169" s="33"/>
      <c r="E169" s="7" t="s">
        <v>632</v>
      </c>
      <c r="F169" s="10"/>
      <c r="G169" s="7" t="s">
        <v>633</v>
      </c>
      <c r="H169" s="7" t="s">
        <v>634</v>
      </c>
      <c r="I169" s="7"/>
      <c r="J169" s="7"/>
      <c r="K169" s="7"/>
      <c r="L169" s="33"/>
      <c r="M169" s="59" t="s">
        <v>525</v>
      </c>
    </row>
    <row r="170" spans="1:13" x14ac:dyDescent="0.2">
      <c r="A170" s="7" t="s">
        <v>52</v>
      </c>
      <c r="B170" s="7" t="s">
        <v>599</v>
      </c>
      <c r="C170" s="8"/>
      <c r="D170" s="33"/>
      <c r="E170" s="7" t="s">
        <v>635</v>
      </c>
      <c r="F170" s="10"/>
      <c r="G170" s="7" t="s">
        <v>636</v>
      </c>
      <c r="H170" s="7" t="s">
        <v>626</v>
      </c>
      <c r="I170" s="7"/>
      <c r="J170" s="7"/>
      <c r="K170" s="7"/>
      <c r="L170" s="33"/>
      <c r="M170" s="59" t="s">
        <v>525</v>
      </c>
    </row>
    <row r="171" spans="1:13" x14ac:dyDescent="0.2">
      <c r="A171" s="7" t="s">
        <v>52</v>
      </c>
      <c r="B171" s="7" t="s">
        <v>599</v>
      </c>
      <c r="C171" s="8"/>
      <c r="D171" s="33"/>
      <c r="E171" s="7" t="s">
        <v>637</v>
      </c>
      <c r="F171" s="10"/>
      <c r="G171" s="7" t="s">
        <v>638</v>
      </c>
      <c r="H171" s="7" t="s">
        <v>626</v>
      </c>
      <c r="I171" s="7"/>
      <c r="J171" s="7"/>
      <c r="K171" s="7"/>
      <c r="L171" s="33"/>
      <c r="M171" s="59" t="s">
        <v>525</v>
      </c>
    </row>
    <row r="172" spans="1:13" x14ac:dyDescent="0.2">
      <c r="A172" s="7" t="s">
        <v>525</v>
      </c>
      <c r="B172" s="7" t="s">
        <v>525</v>
      </c>
      <c r="C172" s="8"/>
      <c r="D172" s="33"/>
      <c r="E172" s="7" t="s">
        <v>639</v>
      </c>
      <c r="F172" s="10"/>
      <c r="G172" s="7" t="s">
        <v>640</v>
      </c>
      <c r="H172" s="7" t="s">
        <v>626</v>
      </c>
      <c r="I172" s="7"/>
      <c r="J172" s="7"/>
      <c r="K172" s="7"/>
      <c r="L172" s="33"/>
      <c r="M172" s="59" t="s">
        <v>525</v>
      </c>
    </row>
    <row r="173" spans="1:13" x14ac:dyDescent="0.2">
      <c r="A173" s="7" t="s">
        <v>52</v>
      </c>
      <c r="B173" s="7" t="s">
        <v>641</v>
      </c>
      <c r="C173" s="8"/>
      <c r="D173" s="33"/>
      <c r="E173" s="7" t="s">
        <v>642</v>
      </c>
      <c r="F173" s="10"/>
      <c r="G173" s="7" t="s">
        <v>643</v>
      </c>
      <c r="H173" s="7" t="s">
        <v>644</v>
      </c>
      <c r="I173" s="7"/>
      <c r="J173" s="7"/>
      <c r="K173" s="7"/>
      <c r="L173" s="33"/>
      <c r="M173" s="60"/>
    </row>
    <row r="174" spans="1:13" x14ac:dyDescent="0.2">
      <c r="A174" s="7" t="s">
        <v>52</v>
      </c>
      <c r="B174" s="7" t="s">
        <v>641</v>
      </c>
      <c r="C174" s="8"/>
      <c r="D174" s="33"/>
      <c r="E174" s="7" t="s">
        <v>645</v>
      </c>
      <c r="F174" s="10"/>
      <c r="G174" s="7" t="s">
        <v>646</v>
      </c>
      <c r="H174" s="7" t="s">
        <v>644</v>
      </c>
      <c r="I174" s="7"/>
      <c r="J174" s="7"/>
      <c r="K174" s="7"/>
      <c r="L174" s="33"/>
      <c r="M174" s="60"/>
    </row>
    <row r="175" spans="1:13" x14ac:dyDescent="0.2">
      <c r="A175" s="7" t="s">
        <v>52</v>
      </c>
      <c r="B175" s="7" t="s">
        <v>641</v>
      </c>
      <c r="C175" s="8"/>
      <c r="D175" s="33"/>
      <c r="E175" s="7" t="s">
        <v>647</v>
      </c>
      <c r="F175" s="10"/>
      <c r="G175" s="7" t="s">
        <v>648</v>
      </c>
      <c r="H175" s="7" t="s">
        <v>649</v>
      </c>
      <c r="I175" s="7"/>
      <c r="J175" s="7"/>
      <c r="K175" s="7"/>
      <c r="L175" s="33"/>
      <c r="M175" s="60"/>
    </row>
    <row r="176" spans="1:13" x14ac:dyDescent="0.2">
      <c r="A176" s="7" t="s">
        <v>52</v>
      </c>
      <c r="B176" s="7" t="s">
        <v>641</v>
      </c>
      <c r="C176" s="8"/>
      <c r="D176" s="33"/>
      <c r="E176" s="7" t="s">
        <v>650</v>
      </c>
      <c r="F176" s="10"/>
      <c r="G176" s="7" t="s">
        <v>651</v>
      </c>
      <c r="H176" s="7" t="s">
        <v>652</v>
      </c>
      <c r="I176" s="7"/>
      <c r="J176" s="7"/>
      <c r="K176" s="7"/>
      <c r="L176" s="33"/>
      <c r="M176" s="60"/>
    </row>
    <row r="177" spans="1:13" x14ac:dyDescent="0.2">
      <c r="A177" s="7" t="s">
        <v>52</v>
      </c>
      <c r="B177" s="7" t="s">
        <v>641</v>
      </c>
      <c r="C177" s="8"/>
      <c r="D177" s="33"/>
      <c r="E177" s="7" t="s">
        <v>653</v>
      </c>
      <c r="F177" s="10"/>
      <c r="G177" s="7" t="s">
        <v>654</v>
      </c>
      <c r="H177" s="7" t="s">
        <v>649</v>
      </c>
      <c r="I177" s="7"/>
      <c r="J177" s="7"/>
      <c r="K177" s="7"/>
      <c r="L177" s="33"/>
      <c r="M177" s="60"/>
    </row>
    <row r="178" spans="1:13" x14ac:dyDescent="0.2">
      <c r="A178" s="7" t="s">
        <v>52</v>
      </c>
      <c r="B178" s="7" t="s">
        <v>641</v>
      </c>
      <c r="C178" s="8"/>
      <c r="D178" s="33"/>
      <c r="E178" s="7" t="s">
        <v>655</v>
      </c>
      <c r="F178" s="10"/>
      <c r="G178" s="7" t="s">
        <v>656</v>
      </c>
      <c r="H178" s="7" t="s">
        <v>644</v>
      </c>
      <c r="I178" s="7"/>
      <c r="J178" s="7"/>
      <c r="K178" s="7"/>
      <c r="L178" s="33"/>
      <c r="M178" s="60"/>
    </row>
    <row r="179" spans="1:13" x14ac:dyDescent="0.2">
      <c r="A179" s="7" t="s">
        <v>52</v>
      </c>
      <c r="B179" s="7" t="s">
        <v>641</v>
      </c>
      <c r="C179" s="8"/>
      <c r="D179" s="33"/>
      <c r="E179" s="7" t="s">
        <v>657</v>
      </c>
      <c r="F179" s="10"/>
      <c r="G179" s="7" t="s">
        <v>658</v>
      </c>
      <c r="H179" s="7" t="s">
        <v>649</v>
      </c>
      <c r="I179" s="7"/>
      <c r="J179" s="7"/>
      <c r="K179" s="7"/>
      <c r="L179" s="33"/>
      <c r="M179" s="60"/>
    </row>
    <row r="180" spans="1:13" x14ac:dyDescent="0.2">
      <c r="A180" s="7" t="s">
        <v>52</v>
      </c>
      <c r="B180" s="7" t="s">
        <v>641</v>
      </c>
      <c r="C180" s="8"/>
      <c r="D180" s="33"/>
      <c r="E180" s="7" t="s">
        <v>659</v>
      </c>
      <c r="F180" s="10"/>
      <c r="G180" s="7" t="s">
        <v>660</v>
      </c>
      <c r="H180" s="7" t="s">
        <v>661</v>
      </c>
      <c r="I180" s="7"/>
      <c r="J180" s="7"/>
      <c r="K180" s="7"/>
      <c r="L180" s="33"/>
      <c r="M180" s="60"/>
    </row>
    <row r="181" spans="1:13" x14ac:dyDescent="0.2">
      <c r="A181" s="7" t="s">
        <v>52</v>
      </c>
      <c r="B181" s="7" t="s">
        <v>641</v>
      </c>
      <c r="C181" s="8"/>
      <c r="D181" s="33"/>
      <c r="E181" s="7" t="s">
        <v>662</v>
      </c>
      <c r="F181" s="10"/>
      <c r="G181" s="7" t="s">
        <v>663</v>
      </c>
      <c r="H181" s="7" t="s">
        <v>661</v>
      </c>
      <c r="I181" s="7"/>
      <c r="J181" s="7"/>
      <c r="K181" s="7"/>
      <c r="L181" s="33"/>
      <c r="M181" s="60"/>
    </row>
    <row r="182" spans="1:13" x14ac:dyDescent="0.2">
      <c r="A182" s="7" t="s">
        <v>52</v>
      </c>
      <c r="B182" s="7" t="s">
        <v>641</v>
      </c>
      <c r="C182" s="8"/>
      <c r="D182" s="33"/>
      <c r="E182" s="7" t="s">
        <v>664</v>
      </c>
      <c r="F182" s="10"/>
      <c r="G182" s="7" t="s">
        <v>665</v>
      </c>
      <c r="H182" s="7" t="s">
        <v>661</v>
      </c>
      <c r="I182" s="7"/>
      <c r="J182" s="7"/>
      <c r="K182" s="7"/>
      <c r="L182" s="33"/>
      <c r="M182" s="60"/>
    </row>
    <row r="183" spans="1:13" x14ac:dyDescent="0.2">
      <c r="A183" s="7" t="s">
        <v>52</v>
      </c>
      <c r="B183" s="7" t="s">
        <v>641</v>
      </c>
      <c r="C183" s="8"/>
      <c r="D183" s="33"/>
      <c r="E183" s="7" t="s">
        <v>666</v>
      </c>
      <c r="F183" s="10"/>
      <c r="G183" s="7" t="s">
        <v>667</v>
      </c>
      <c r="H183" s="7" t="s">
        <v>644</v>
      </c>
      <c r="I183" s="7"/>
      <c r="J183" s="7"/>
      <c r="K183" s="7"/>
      <c r="L183" s="33"/>
      <c r="M183" s="60"/>
    </row>
    <row r="184" spans="1:13" x14ac:dyDescent="0.2">
      <c r="A184" s="7" t="s">
        <v>52</v>
      </c>
      <c r="B184" s="7" t="s">
        <v>641</v>
      </c>
      <c r="C184" s="8"/>
      <c r="D184" s="33"/>
      <c r="E184" s="7" t="s">
        <v>668</v>
      </c>
      <c r="F184" s="10"/>
      <c r="G184" s="7" t="s">
        <v>669</v>
      </c>
      <c r="H184" s="7" t="s">
        <v>670</v>
      </c>
      <c r="I184" s="7"/>
      <c r="J184" s="7"/>
      <c r="K184" s="7"/>
      <c r="L184" s="33"/>
      <c r="M184" s="60"/>
    </row>
    <row r="185" spans="1:13" x14ac:dyDescent="0.2">
      <c r="A185" s="7" t="s">
        <v>52</v>
      </c>
      <c r="B185" s="7" t="s">
        <v>641</v>
      </c>
      <c r="C185" s="8"/>
      <c r="D185" s="33"/>
      <c r="E185" s="7" t="s">
        <v>671</v>
      </c>
      <c r="F185" s="10"/>
      <c r="G185" s="7" t="s">
        <v>672</v>
      </c>
      <c r="H185" s="7" t="s">
        <v>644</v>
      </c>
      <c r="I185" s="7"/>
      <c r="J185" s="7"/>
      <c r="K185" s="7"/>
      <c r="L185" s="33"/>
      <c r="M185" s="60"/>
    </row>
    <row r="186" spans="1:13" x14ac:dyDescent="0.2">
      <c r="A186" s="7" t="s">
        <v>52</v>
      </c>
      <c r="B186" s="7" t="s">
        <v>641</v>
      </c>
      <c r="C186" s="8"/>
      <c r="D186" s="33"/>
      <c r="E186" s="7" t="s">
        <v>673</v>
      </c>
      <c r="F186" s="10"/>
      <c r="G186" s="7" t="s">
        <v>674</v>
      </c>
      <c r="H186" s="7" t="s">
        <v>644</v>
      </c>
      <c r="I186" s="7"/>
      <c r="J186" s="7"/>
      <c r="K186" s="7"/>
      <c r="L186" s="33"/>
      <c r="M186" s="60"/>
    </row>
    <row r="187" spans="1:13" x14ac:dyDescent="0.2">
      <c r="A187" s="7" t="s">
        <v>52</v>
      </c>
      <c r="B187" s="7" t="s">
        <v>641</v>
      </c>
      <c r="C187" s="8"/>
      <c r="D187" s="33"/>
      <c r="E187" s="7" t="s">
        <v>675</v>
      </c>
      <c r="F187" s="10"/>
      <c r="G187" s="7" t="s">
        <v>676</v>
      </c>
      <c r="H187" s="7" t="s">
        <v>644</v>
      </c>
      <c r="I187" s="7"/>
      <c r="J187" s="7"/>
      <c r="K187" s="7"/>
      <c r="L187" s="33"/>
      <c r="M187" s="60"/>
    </row>
    <row r="188" spans="1:13" x14ac:dyDescent="0.2">
      <c r="A188" s="7" t="s">
        <v>52</v>
      </c>
      <c r="B188" s="7" t="s">
        <v>641</v>
      </c>
      <c r="C188" s="8"/>
      <c r="D188" s="33"/>
      <c r="E188" s="7" t="s">
        <v>677</v>
      </c>
      <c r="F188" s="10"/>
      <c r="G188" s="7" t="s">
        <v>678</v>
      </c>
      <c r="H188" s="7" t="s">
        <v>652</v>
      </c>
      <c r="I188" s="7"/>
      <c r="J188" s="7"/>
      <c r="K188" s="7"/>
      <c r="L188" s="33"/>
      <c r="M188" s="60"/>
    </row>
    <row r="189" spans="1:13" x14ac:dyDescent="0.2">
      <c r="A189" s="7" t="s">
        <v>52</v>
      </c>
      <c r="B189" s="7" t="s">
        <v>641</v>
      </c>
      <c r="C189" s="8"/>
      <c r="D189" s="33"/>
      <c r="E189" s="7" t="s">
        <v>679</v>
      </c>
      <c r="F189" s="10"/>
      <c r="G189" s="7" t="s">
        <v>680</v>
      </c>
      <c r="H189" s="7" t="s">
        <v>661</v>
      </c>
      <c r="I189" s="7"/>
      <c r="J189" s="7"/>
      <c r="K189" s="7"/>
      <c r="L189" s="33"/>
      <c r="M189" s="60"/>
    </row>
    <row r="190" spans="1:13" x14ac:dyDescent="0.2">
      <c r="A190" s="7" t="s">
        <v>52</v>
      </c>
      <c r="B190" s="7" t="s">
        <v>641</v>
      </c>
      <c r="C190" s="8"/>
      <c r="D190" s="33"/>
      <c r="E190" s="7" t="s">
        <v>681</v>
      </c>
      <c r="F190" s="10"/>
      <c r="G190" s="7" t="s">
        <v>682</v>
      </c>
      <c r="H190" s="7" t="s">
        <v>644</v>
      </c>
      <c r="I190" s="7"/>
      <c r="J190" s="7"/>
      <c r="K190" s="7"/>
      <c r="L190" s="33"/>
      <c r="M190" s="60"/>
    </row>
    <row r="191" spans="1:13" x14ac:dyDescent="0.2">
      <c r="A191" s="7" t="s">
        <v>52</v>
      </c>
      <c r="B191" s="7" t="s">
        <v>641</v>
      </c>
      <c r="C191" s="8"/>
      <c r="D191" s="33"/>
      <c r="E191" s="7" t="s">
        <v>683</v>
      </c>
      <c r="F191" s="10"/>
      <c r="G191" s="7" t="s">
        <v>684</v>
      </c>
      <c r="H191" s="7" t="s">
        <v>661</v>
      </c>
      <c r="I191" s="7"/>
      <c r="J191" s="7"/>
      <c r="K191" s="7"/>
      <c r="L191" s="33"/>
      <c r="M191" s="60"/>
    </row>
    <row r="192" spans="1:13" x14ac:dyDescent="0.2">
      <c r="A192" s="7" t="s">
        <v>52</v>
      </c>
      <c r="B192" s="7" t="s">
        <v>641</v>
      </c>
      <c r="C192" s="8"/>
      <c r="D192" s="33"/>
      <c r="E192" s="7" t="s">
        <v>685</v>
      </c>
      <c r="F192" s="10"/>
      <c r="G192" s="7" t="s">
        <v>686</v>
      </c>
      <c r="H192" s="7" t="s">
        <v>687</v>
      </c>
      <c r="I192" s="7"/>
      <c r="J192" s="7"/>
      <c r="K192" s="7"/>
      <c r="L192" s="33"/>
      <c r="M192" s="60"/>
    </row>
    <row r="193" spans="1:13" x14ac:dyDescent="0.2">
      <c r="A193" s="7" t="s">
        <v>52</v>
      </c>
      <c r="B193" s="7" t="s">
        <v>688</v>
      </c>
      <c r="C193" s="8"/>
      <c r="D193" s="33"/>
      <c r="E193" s="7" t="s">
        <v>689</v>
      </c>
      <c r="F193" s="10"/>
      <c r="G193" s="7" t="s">
        <v>690</v>
      </c>
      <c r="H193" s="7" t="s">
        <v>691</v>
      </c>
      <c r="I193" s="7"/>
      <c r="J193" s="7"/>
      <c r="K193" s="7"/>
      <c r="L193" s="33"/>
      <c r="M193" s="59" t="s">
        <v>525</v>
      </c>
    </row>
    <row r="194" spans="1:13" x14ac:dyDescent="0.2">
      <c r="A194" s="7" t="s">
        <v>52</v>
      </c>
      <c r="B194" s="7" t="s">
        <v>641</v>
      </c>
      <c r="C194" s="8"/>
      <c r="D194" s="33"/>
      <c r="E194" s="7" t="s">
        <v>692</v>
      </c>
      <c r="F194" s="10"/>
      <c r="G194" s="7" t="s">
        <v>693</v>
      </c>
      <c r="H194" s="7" t="s">
        <v>694</v>
      </c>
      <c r="I194" s="7"/>
      <c r="J194" s="7"/>
      <c r="K194" s="7"/>
      <c r="L194" s="33"/>
      <c r="M194" s="60"/>
    </row>
    <row r="195" spans="1:13" x14ac:dyDescent="0.2">
      <c r="A195" s="7" t="s">
        <v>52</v>
      </c>
      <c r="B195" s="7" t="s">
        <v>641</v>
      </c>
      <c r="C195" s="8"/>
      <c r="D195" s="33"/>
      <c r="E195" s="7" t="s">
        <v>695</v>
      </c>
      <c r="F195" s="10"/>
      <c r="G195" s="7" t="s">
        <v>696</v>
      </c>
      <c r="H195" s="7" t="s">
        <v>644</v>
      </c>
      <c r="I195" s="7"/>
      <c r="J195" s="7"/>
      <c r="K195" s="7"/>
      <c r="L195" s="33"/>
      <c r="M195" s="60"/>
    </row>
    <row r="196" spans="1:13" x14ac:dyDescent="0.2">
      <c r="A196" s="7" t="s">
        <v>52</v>
      </c>
      <c r="B196" s="7" t="s">
        <v>697</v>
      </c>
      <c r="C196" s="8"/>
      <c r="D196" s="33"/>
      <c r="E196" s="7" t="s">
        <v>698</v>
      </c>
      <c r="F196" s="10"/>
      <c r="G196" s="7" t="s">
        <v>699</v>
      </c>
      <c r="H196" s="7" t="s">
        <v>700</v>
      </c>
      <c r="I196" s="7"/>
      <c r="J196" s="7"/>
      <c r="K196" s="7"/>
      <c r="L196" s="33"/>
      <c r="M196" s="59" t="s">
        <v>525</v>
      </c>
    </row>
    <row r="197" spans="1:13" x14ac:dyDescent="0.2">
      <c r="A197" s="7" t="s">
        <v>52</v>
      </c>
      <c r="B197" s="7" t="s">
        <v>641</v>
      </c>
      <c r="C197" s="8"/>
      <c r="D197" s="33"/>
      <c r="E197" s="7" t="s">
        <v>701</v>
      </c>
      <c r="F197" s="10"/>
      <c r="G197" s="7" t="s">
        <v>702</v>
      </c>
      <c r="H197" s="7" t="s">
        <v>652</v>
      </c>
      <c r="I197" s="7"/>
      <c r="J197" s="7"/>
      <c r="K197" s="7"/>
      <c r="L197" s="33"/>
      <c r="M197" s="60"/>
    </row>
    <row r="198" spans="1:13" x14ac:dyDescent="0.2">
      <c r="A198" s="7" t="s">
        <v>52</v>
      </c>
      <c r="B198" s="7" t="s">
        <v>641</v>
      </c>
      <c r="C198" s="8"/>
      <c r="D198" s="33"/>
      <c r="E198" s="7" t="s">
        <v>703</v>
      </c>
      <c r="F198" s="10"/>
      <c r="G198" s="7" t="s">
        <v>704</v>
      </c>
      <c r="H198" s="7" t="s">
        <v>661</v>
      </c>
      <c r="I198" s="7"/>
      <c r="J198" s="7"/>
      <c r="K198" s="7"/>
      <c r="L198" s="33"/>
      <c r="M198" s="60"/>
    </row>
    <row r="199" spans="1:13" x14ac:dyDescent="0.2">
      <c r="A199" s="7" t="s">
        <v>52</v>
      </c>
      <c r="B199" s="7" t="s">
        <v>697</v>
      </c>
      <c r="C199" s="8"/>
      <c r="D199" s="33"/>
      <c r="E199" s="7" t="s">
        <v>705</v>
      </c>
      <c r="F199" s="10"/>
      <c r="G199" s="7" t="s">
        <v>706</v>
      </c>
      <c r="H199" s="7" t="s">
        <v>707</v>
      </c>
      <c r="I199" s="7"/>
      <c r="J199" s="7"/>
      <c r="K199" s="7"/>
      <c r="L199" s="33"/>
      <c r="M199" s="59" t="s">
        <v>525</v>
      </c>
    </row>
    <row r="200" spans="1:13" x14ac:dyDescent="0.2">
      <c r="A200" s="7" t="s">
        <v>52</v>
      </c>
      <c r="B200" s="7" t="s">
        <v>641</v>
      </c>
      <c r="C200" s="8"/>
      <c r="D200" s="33"/>
      <c r="E200" s="7" t="s">
        <v>708</v>
      </c>
      <c r="F200" s="10"/>
      <c r="G200" s="7" t="s">
        <v>709</v>
      </c>
      <c r="H200" s="7" t="s">
        <v>652</v>
      </c>
      <c r="I200" s="7"/>
      <c r="J200" s="7"/>
      <c r="K200" s="7"/>
      <c r="L200" s="33"/>
      <c r="M200" s="60"/>
    </row>
    <row r="201" spans="1:13" x14ac:dyDescent="0.2">
      <c r="A201" s="7" t="s">
        <v>52</v>
      </c>
      <c r="B201" s="7" t="s">
        <v>641</v>
      </c>
      <c r="C201" s="8"/>
      <c r="D201" s="33"/>
      <c r="E201" s="7" t="s">
        <v>710</v>
      </c>
      <c r="F201" s="10"/>
      <c r="G201" s="7" t="s">
        <v>711</v>
      </c>
      <c r="H201" s="7" t="s">
        <v>644</v>
      </c>
      <c r="I201" s="7"/>
      <c r="J201" s="7"/>
      <c r="K201" s="7"/>
      <c r="L201" s="33"/>
      <c r="M201" s="60"/>
    </row>
    <row r="202" spans="1:13" x14ac:dyDescent="0.2">
      <c r="A202" s="7" t="s">
        <v>52</v>
      </c>
      <c r="B202" s="7" t="s">
        <v>641</v>
      </c>
      <c r="C202" s="8"/>
      <c r="D202" s="33"/>
      <c r="E202" s="7" t="s">
        <v>712</v>
      </c>
      <c r="F202" s="10"/>
      <c r="G202" s="7" t="s">
        <v>713</v>
      </c>
      <c r="H202" s="7" t="s">
        <v>644</v>
      </c>
      <c r="I202" s="7"/>
      <c r="J202" s="7"/>
      <c r="K202" s="7"/>
      <c r="L202" s="33"/>
      <c r="M202" s="60"/>
    </row>
    <row r="203" spans="1:13" x14ac:dyDescent="0.2">
      <c r="A203" s="7" t="s">
        <v>52</v>
      </c>
      <c r="B203" s="7" t="s">
        <v>641</v>
      </c>
      <c r="C203" s="8"/>
      <c r="D203" s="33"/>
      <c r="E203" s="7" t="s">
        <v>714</v>
      </c>
      <c r="F203" s="10"/>
      <c r="G203" s="7" t="s">
        <v>715</v>
      </c>
      <c r="H203" s="7" t="s">
        <v>716</v>
      </c>
      <c r="I203" s="7"/>
      <c r="J203" s="7"/>
      <c r="K203" s="7"/>
      <c r="L203" s="33"/>
      <c r="M203" s="60"/>
    </row>
    <row r="204" spans="1:13" x14ac:dyDescent="0.2">
      <c r="A204" s="7" t="s">
        <v>52</v>
      </c>
      <c r="B204" s="7" t="s">
        <v>641</v>
      </c>
      <c r="C204" s="8"/>
      <c r="D204" s="33"/>
      <c r="E204" s="7" t="s">
        <v>717</v>
      </c>
      <c r="F204" s="10"/>
      <c r="G204" s="7" t="s">
        <v>718</v>
      </c>
      <c r="H204" s="7" t="s">
        <v>649</v>
      </c>
      <c r="I204" s="7"/>
      <c r="J204" s="7"/>
      <c r="K204" s="7"/>
      <c r="L204" s="33"/>
      <c r="M204" s="60"/>
    </row>
    <row r="205" spans="1:13" x14ac:dyDescent="0.2">
      <c r="A205" s="7" t="s">
        <v>52</v>
      </c>
      <c r="B205" s="7" t="s">
        <v>641</v>
      </c>
      <c r="C205" s="8"/>
      <c r="D205" s="33"/>
      <c r="E205" s="7" t="s">
        <v>719</v>
      </c>
      <c r="F205" s="10"/>
      <c r="G205" s="7" t="s">
        <v>720</v>
      </c>
      <c r="H205" s="7" t="s">
        <v>649</v>
      </c>
      <c r="I205" s="7"/>
      <c r="J205" s="7"/>
      <c r="K205" s="7"/>
      <c r="L205" s="33"/>
      <c r="M205" s="60"/>
    </row>
    <row r="206" spans="1:13" x14ac:dyDescent="0.2">
      <c r="A206" s="7" t="s">
        <v>52</v>
      </c>
      <c r="B206" s="7" t="s">
        <v>641</v>
      </c>
      <c r="C206" s="8"/>
      <c r="D206" s="33"/>
      <c r="E206" s="7" t="s">
        <v>721</v>
      </c>
      <c r="F206" s="10"/>
      <c r="G206" s="7" t="s">
        <v>722</v>
      </c>
      <c r="H206" s="7" t="s">
        <v>652</v>
      </c>
      <c r="I206" s="7"/>
      <c r="J206" s="7"/>
      <c r="K206" s="7"/>
      <c r="L206" s="33"/>
      <c r="M206" s="60"/>
    </row>
    <row r="207" spans="1:13" x14ac:dyDescent="0.2">
      <c r="A207" s="7" t="s">
        <v>52</v>
      </c>
      <c r="B207" s="7" t="s">
        <v>641</v>
      </c>
      <c r="C207" s="8"/>
      <c r="D207" s="33"/>
      <c r="E207" s="7" t="s">
        <v>723</v>
      </c>
      <c r="F207" s="10"/>
      <c r="G207" s="7" t="s">
        <v>724</v>
      </c>
      <c r="H207" s="7" t="s">
        <v>652</v>
      </c>
      <c r="I207" s="7"/>
      <c r="J207" s="7"/>
      <c r="K207" s="7"/>
      <c r="L207" s="33"/>
      <c r="M207" s="60"/>
    </row>
    <row r="208" spans="1:13" x14ac:dyDescent="0.2">
      <c r="A208" s="7" t="s">
        <v>52</v>
      </c>
      <c r="B208" s="7" t="s">
        <v>641</v>
      </c>
      <c r="C208" s="8"/>
      <c r="D208" s="33"/>
      <c r="E208" s="7" t="s">
        <v>725</v>
      </c>
      <c r="F208" s="10"/>
      <c r="G208" s="7" t="s">
        <v>726</v>
      </c>
      <c r="H208" s="7" t="s">
        <v>644</v>
      </c>
      <c r="I208" s="7"/>
      <c r="J208" s="7"/>
      <c r="K208" s="7"/>
      <c r="L208" s="33"/>
      <c r="M208" s="60"/>
    </row>
    <row r="209" spans="1:13" x14ac:dyDescent="0.2">
      <c r="A209" s="7" t="s">
        <v>52</v>
      </c>
      <c r="B209" s="7" t="s">
        <v>697</v>
      </c>
      <c r="C209" s="8"/>
      <c r="D209" s="33"/>
      <c r="E209" s="7" t="s">
        <v>727</v>
      </c>
      <c r="F209" s="10"/>
      <c r="G209" s="7" t="s">
        <v>728</v>
      </c>
      <c r="H209" s="7" t="s">
        <v>729</v>
      </c>
      <c r="I209" s="7"/>
      <c r="J209" s="7"/>
      <c r="K209" s="7"/>
      <c r="L209" s="33"/>
      <c r="M209" s="59" t="s">
        <v>525</v>
      </c>
    </row>
    <row r="210" spans="1:13" x14ac:dyDescent="0.2">
      <c r="A210" s="7" t="s">
        <v>52</v>
      </c>
      <c r="B210" s="7" t="s">
        <v>641</v>
      </c>
      <c r="C210" s="8"/>
      <c r="D210" s="33"/>
      <c r="E210" s="7" t="s">
        <v>730</v>
      </c>
      <c r="F210" s="10"/>
      <c r="G210" s="7" t="s">
        <v>731</v>
      </c>
      <c r="H210" s="7" t="s">
        <v>644</v>
      </c>
      <c r="I210" s="7"/>
      <c r="J210" s="7"/>
      <c r="K210" s="7"/>
      <c r="L210" s="33"/>
      <c r="M210" s="60"/>
    </row>
    <row r="211" spans="1:13" x14ac:dyDescent="0.2">
      <c r="A211" s="7" t="s">
        <v>52</v>
      </c>
      <c r="B211" s="7" t="s">
        <v>641</v>
      </c>
      <c r="C211" s="8"/>
      <c r="D211" s="33"/>
      <c r="E211" s="7" t="s">
        <v>732</v>
      </c>
      <c r="F211" s="10"/>
      <c r="G211" s="7" t="s">
        <v>733</v>
      </c>
      <c r="H211" s="7" t="s">
        <v>649</v>
      </c>
      <c r="I211" s="7"/>
      <c r="J211" s="7"/>
      <c r="K211" s="7"/>
      <c r="L211" s="33"/>
      <c r="M211" s="60"/>
    </row>
    <row r="212" spans="1:13" x14ac:dyDescent="0.2">
      <c r="A212" s="7" t="s">
        <v>52</v>
      </c>
      <c r="B212" s="7" t="s">
        <v>641</v>
      </c>
      <c r="C212" s="8"/>
      <c r="D212" s="33"/>
      <c r="E212" s="7" t="s">
        <v>734</v>
      </c>
      <c r="F212" s="10"/>
      <c r="G212" s="7" t="s">
        <v>735</v>
      </c>
      <c r="H212" s="7" t="s">
        <v>661</v>
      </c>
      <c r="I212" s="7"/>
      <c r="J212" s="7"/>
      <c r="K212" s="7"/>
      <c r="L212" s="33"/>
      <c r="M212" s="60"/>
    </row>
    <row r="213" spans="1:13" x14ac:dyDescent="0.2">
      <c r="A213" s="7" t="s">
        <v>52</v>
      </c>
      <c r="B213" s="7" t="s">
        <v>641</v>
      </c>
      <c r="C213" s="8"/>
      <c r="D213" s="33"/>
      <c r="E213" s="7" t="s">
        <v>736</v>
      </c>
      <c r="F213" s="10"/>
      <c r="G213" s="7" t="s">
        <v>737</v>
      </c>
      <c r="H213" s="7" t="s">
        <v>661</v>
      </c>
      <c r="I213" s="7"/>
      <c r="J213" s="7"/>
      <c r="K213" s="7"/>
      <c r="L213" s="33"/>
      <c r="M213" s="60"/>
    </row>
    <row r="214" spans="1:13" x14ac:dyDescent="0.2">
      <c r="A214" s="7" t="s">
        <v>52</v>
      </c>
      <c r="B214" s="7" t="s">
        <v>641</v>
      </c>
      <c r="C214" s="8"/>
      <c r="D214" s="33"/>
      <c r="E214" s="7" t="s">
        <v>738</v>
      </c>
      <c r="F214" s="10"/>
      <c r="G214" s="7" t="s">
        <v>739</v>
      </c>
      <c r="H214" s="7" t="s">
        <v>740</v>
      </c>
      <c r="I214" s="7"/>
      <c r="J214" s="7"/>
      <c r="K214" s="7"/>
      <c r="L214" s="33"/>
      <c r="M214" s="60"/>
    </row>
    <row r="215" spans="1:13" x14ac:dyDescent="0.2">
      <c r="A215" s="7" t="s">
        <v>52</v>
      </c>
      <c r="B215" s="7" t="s">
        <v>641</v>
      </c>
      <c r="C215" s="8"/>
      <c r="D215" s="33"/>
      <c r="E215" s="7" t="s">
        <v>741</v>
      </c>
      <c r="F215" s="10"/>
      <c r="G215" s="7" t="s">
        <v>742</v>
      </c>
      <c r="H215" s="7" t="s">
        <v>661</v>
      </c>
      <c r="I215" s="7"/>
      <c r="J215" s="7"/>
      <c r="K215" s="7"/>
      <c r="L215" s="33"/>
      <c r="M215" s="60"/>
    </row>
    <row r="216" spans="1:13" x14ac:dyDescent="0.2">
      <c r="A216" s="7" t="s">
        <v>52</v>
      </c>
      <c r="B216" s="7" t="s">
        <v>641</v>
      </c>
      <c r="C216" s="8"/>
      <c r="D216" s="33"/>
      <c r="E216" s="7" t="s">
        <v>743</v>
      </c>
      <c r="F216" s="10"/>
      <c r="G216" s="7" t="s">
        <v>744</v>
      </c>
      <c r="H216" s="7" t="s">
        <v>716</v>
      </c>
      <c r="I216" s="7"/>
      <c r="J216" s="7"/>
      <c r="K216" s="7"/>
      <c r="L216" s="33"/>
      <c r="M216" s="60"/>
    </row>
    <row r="217" spans="1:13" x14ac:dyDescent="0.2">
      <c r="A217" s="7" t="s">
        <v>52</v>
      </c>
      <c r="B217" s="7" t="s">
        <v>697</v>
      </c>
      <c r="C217" s="8"/>
      <c r="D217" s="33"/>
      <c r="E217" s="7" t="s">
        <v>745</v>
      </c>
      <c r="F217" s="10"/>
      <c r="G217" s="7" t="s">
        <v>746</v>
      </c>
      <c r="H217" s="7" t="s">
        <v>747</v>
      </c>
      <c r="I217" s="7"/>
      <c r="J217" s="7"/>
      <c r="K217" s="7"/>
      <c r="L217" s="33"/>
      <c r="M217" s="59" t="s">
        <v>525</v>
      </c>
    </row>
    <row r="218" spans="1:13" x14ac:dyDescent="0.2">
      <c r="A218" s="7" t="s">
        <v>52</v>
      </c>
      <c r="B218" s="7" t="s">
        <v>641</v>
      </c>
      <c r="C218" s="8"/>
      <c r="D218" s="33"/>
      <c r="E218" s="7" t="s">
        <v>748</v>
      </c>
      <c r="F218" s="10"/>
      <c r="G218" s="7" t="s">
        <v>749</v>
      </c>
      <c r="H218" s="7" t="s">
        <v>652</v>
      </c>
      <c r="I218" s="7"/>
      <c r="J218" s="7"/>
      <c r="K218" s="7"/>
      <c r="L218" s="33"/>
      <c r="M218" s="60"/>
    </row>
    <row r="219" spans="1:13" x14ac:dyDescent="0.2">
      <c r="A219" s="7" t="s">
        <v>52</v>
      </c>
      <c r="B219" s="7" t="s">
        <v>641</v>
      </c>
      <c r="C219" s="8"/>
      <c r="D219" s="33"/>
      <c r="E219" s="7" t="s">
        <v>750</v>
      </c>
      <c r="F219" s="10"/>
      <c r="G219" s="7" t="s">
        <v>751</v>
      </c>
      <c r="H219" s="7" t="s">
        <v>644</v>
      </c>
      <c r="I219" s="7"/>
      <c r="J219" s="7"/>
      <c r="K219" s="7"/>
      <c r="L219" s="33"/>
      <c r="M219" s="60"/>
    </row>
    <row r="220" spans="1:13" x14ac:dyDescent="0.2">
      <c r="A220" s="7" t="s">
        <v>52</v>
      </c>
      <c r="B220" s="7" t="s">
        <v>641</v>
      </c>
      <c r="C220" s="8"/>
      <c r="D220" s="33"/>
      <c r="E220" s="7" t="s">
        <v>752</v>
      </c>
      <c r="F220" s="10"/>
      <c r="G220" s="7" t="s">
        <v>753</v>
      </c>
      <c r="H220" s="7" t="s">
        <v>644</v>
      </c>
      <c r="I220" s="7"/>
      <c r="J220" s="7"/>
      <c r="K220" s="7"/>
      <c r="L220" s="33"/>
      <c r="M220" s="60"/>
    </row>
    <row r="221" spans="1:13" x14ac:dyDescent="0.2">
      <c r="A221" s="7" t="s">
        <v>52</v>
      </c>
      <c r="B221" s="7" t="s">
        <v>641</v>
      </c>
      <c r="C221" s="8"/>
      <c r="D221" s="33"/>
      <c r="E221" s="7" t="s">
        <v>754</v>
      </c>
      <c r="F221" s="10"/>
      <c r="G221" s="7" t="s">
        <v>755</v>
      </c>
      <c r="H221" s="7" t="s">
        <v>644</v>
      </c>
      <c r="I221" s="7"/>
      <c r="J221" s="7"/>
      <c r="K221" s="7"/>
      <c r="L221" s="33"/>
      <c r="M221" s="60"/>
    </row>
    <row r="222" spans="1:13" x14ac:dyDescent="0.2">
      <c r="A222" s="7" t="s">
        <v>52</v>
      </c>
      <c r="B222" s="7" t="s">
        <v>641</v>
      </c>
      <c r="C222" s="8"/>
      <c r="D222" s="33"/>
      <c r="E222" s="7" t="s">
        <v>756</v>
      </c>
      <c r="F222" s="10"/>
      <c r="G222" s="7" t="s">
        <v>757</v>
      </c>
      <c r="H222" s="7" t="s">
        <v>758</v>
      </c>
      <c r="I222" s="7"/>
      <c r="J222" s="7"/>
      <c r="K222" s="7"/>
      <c r="L222" s="33"/>
      <c r="M222" s="60"/>
    </row>
    <row r="223" spans="1:13" x14ac:dyDescent="0.2">
      <c r="A223" s="7" t="s">
        <v>52</v>
      </c>
      <c r="B223" s="7" t="s">
        <v>641</v>
      </c>
      <c r="C223" s="8"/>
      <c r="D223" s="33"/>
      <c r="E223" s="7" t="s">
        <v>759</v>
      </c>
      <c r="F223" s="10"/>
      <c r="G223" s="7" t="s">
        <v>760</v>
      </c>
      <c r="H223" s="7" t="s">
        <v>761</v>
      </c>
      <c r="I223" s="7"/>
      <c r="J223" s="7"/>
      <c r="K223" s="7"/>
      <c r="L223" s="33"/>
      <c r="M223" s="60"/>
    </row>
    <row r="224" spans="1:13" x14ac:dyDescent="0.2">
      <c r="A224" s="7" t="s">
        <v>52</v>
      </c>
      <c r="B224" s="7" t="s">
        <v>688</v>
      </c>
      <c r="C224" s="8"/>
      <c r="D224" s="33"/>
      <c r="E224" s="7" t="s">
        <v>762</v>
      </c>
      <c r="F224" s="10"/>
      <c r="G224" s="7" t="s">
        <v>763</v>
      </c>
      <c r="H224" s="7" t="s">
        <v>764</v>
      </c>
      <c r="I224" s="7"/>
      <c r="J224" s="7"/>
      <c r="K224" s="7"/>
      <c r="L224" s="33"/>
      <c r="M224" s="59" t="s">
        <v>525</v>
      </c>
    </row>
    <row r="225" spans="1:13" x14ac:dyDescent="0.2">
      <c r="A225" s="7" t="s">
        <v>52</v>
      </c>
      <c r="B225" s="7" t="s">
        <v>641</v>
      </c>
      <c r="C225" s="8"/>
      <c r="D225" s="33"/>
      <c r="E225" s="7" t="s">
        <v>765</v>
      </c>
      <c r="F225" s="10"/>
      <c r="G225" s="7" t="s">
        <v>766</v>
      </c>
      <c r="H225" s="7" t="s">
        <v>649</v>
      </c>
      <c r="I225" s="7"/>
      <c r="J225" s="7"/>
      <c r="K225" s="7"/>
      <c r="L225" s="33"/>
      <c r="M225" s="60"/>
    </row>
    <row r="226" spans="1:13" x14ac:dyDescent="0.2">
      <c r="A226" s="7" t="s">
        <v>52</v>
      </c>
      <c r="B226" s="7" t="s">
        <v>641</v>
      </c>
      <c r="C226" s="8"/>
      <c r="D226" s="33"/>
      <c r="E226" s="7" t="s">
        <v>767</v>
      </c>
      <c r="F226" s="10"/>
      <c r="G226" s="7" t="s">
        <v>768</v>
      </c>
      <c r="H226" s="7" t="s">
        <v>769</v>
      </c>
      <c r="I226" s="7"/>
      <c r="J226" s="7"/>
      <c r="K226" s="7"/>
      <c r="L226" s="33"/>
      <c r="M226" s="60"/>
    </row>
    <row r="227" spans="1:13" x14ac:dyDescent="0.2">
      <c r="A227" s="7" t="s">
        <v>52</v>
      </c>
      <c r="B227" s="7" t="s">
        <v>688</v>
      </c>
      <c r="C227" s="8"/>
      <c r="D227" s="33"/>
      <c r="E227" s="7" t="s">
        <v>770</v>
      </c>
      <c r="F227" s="10"/>
      <c r="G227" s="7" t="s">
        <v>771</v>
      </c>
      <c r="H227" s="7" t="s">
        <v>772</v>
      </c>
      <c r="I227" s="7"/>
      <c r="J227" s="7"/>
      <c r="K227" s="7"/>
      <c r="L227" s="33"/>
      <c r="M227" s="59" t="s">
        <v>525</v>
      </c>
    </row>
    <row r="228" spans="1:13" x14ac:dyDescent="0.2">
      <c r="A228" s="7" t="s">
        <v>52</v>
      </c>
      <c r="B228" s="7" t="s">
        <v>641</v>
      </c>
      <c r="C228" s="8"/>
      <c r="D228" s="33"/>
      <c r="E228" s="7" t="s">
        <v>773</v>
      </c>
      <c r="F228" s="10"/>
      <c r="G228" s="7" t="s">
        <v>774</v>
      </c>
      <c r="H228" s="7" t="s">
        <v>775</v>
      </c>
      <c r="I228" s="7"/>
      <c r="J228" s="7"/>
      <c r="K228" s="7"/>
      <c r="L228" s="33"/>
      <c r="M228" s="60"/>
    </row>
    <row r="229" spans="1:13" x14ac:dyDescent="0.2">
      <c r="A229" s="7" t="s">
        <v>52</v>
      </c>
      <c r="B229" s="7" t="s">
        <v>641</v>
      </c>
      <c r="C229" s="8"/>
      <c r="D229" s="33"/>
      <c r="E229" s="7" t="s">
        <v>776</v>
      </c>
      <c r="F229" s="10"/>
      <c r="G229" s="7" t="s">
        <v>777</v>
      </c>
      <c r="H229" s="7" t="s">
        <v>775</v>
      </c>
      <c r="I229" s="7"/>
      <c r="J229" s="7"/>
      <c r="K229" s="7"/>
      <c r="L229" s="33"/>
      <c r="M229" s="60"/>
    </row>
    <row r="230" spans="1:13" x14ac:dyDescent="0.2">
      <c r="A230" s="7" t="s">
        <v>52</v>
      </c>
      <c r="B230" s="7" t="s">
        <v>641</v>
      </c>
      <c r="C230" s="8"/>
      <c r="D230" s="33"/>
      <c r="E230" s="7" t="s">
        <v>778</v>
      </c>
      <c r="F230" s="10"/>
      <c r="G230" s="7" t="s">
        <v>779</v>
      </c>
      <c r="H230" s="7" t="s">
        <v>644</v>
      </c>
      <c r="I230" s="7"/>
      <c r="J230" s="7"/>
      <c r="K230" s="7"/>
      <c r="L230" s="33"/>
      <c r="M230" s="60"/>
    </row>
    <row r="231" spans="1:13" x14ac:dyDescent="0.2">
      <c r="A231" s="7" t="s">
        <v>52</v>
      </c>
      <c r="B231" s="7" t="s">
        <v>641</v>
      </c>
      <c r="C231" s="8"/>
      <c r="D231" s="33"/>
      <c r="E231" s="7" t="s">
        <v>780</v>
      </c>
      <c r="F231" s="10"/>
      <c r="G231" s="7" t="s">
        <v>781</v>
      </c>
      <c r="H231" s="7" t="s">
        <v>782</v>
      </c>
      <c r="I231" s="7"/>
      <c r="J231" s="7"/>
      <c r="K231" s="7"/>
      <c r="L231" s="33"/>
      <c r="M231" s="60"/>
    </row>
    <row r="232" spans="1:13" x14ac:dyDescent="0.2">
      <c r="A232" s="7" t="s">
        <v>52</v>
      </c>
      <c r="B232" s="7" t="s">
        <v>641</v>
      </c>
      <c r="C232" s="8"/>
      <c r="D232" s="33"/>
      <c r="E232" s="7" t="s">
        <v>783</v>
      </c>
      <c r="F232" s="10"/>
      <c r="G232" s="7" t="s">
        <v>784</v>
      </c>
      <c r="H232" s="7" t="s">
        <v>652</v>
      </c>
      <c r="I232" s="7"/>
      <c r="J232" s="7"/>
      <c r="K232" s="7"/>
      <c r="L232" s="33"/>
      <c r="M232" s="60"/>
    </row>
    <row r="233" spans="1:13" x14ac:dyDescent="0.2">
      <c r="A233" s="7" t="s">
        <v>52</v>
      </c>
      <c r="B233" s="7" t="s">
        <v>641</v>
      </c>
      <c r="C233" s="8"/>
      <c r="D233" s="33"/>
      <c r="E233" s="7" t="s">
        <v>785</v>
      </c>
      <c r="F233" s="10"/>
      <c r="G233" s="7" t="s">
        <v>786</v>
      </c>
      <c r="H233" s="7" t="s">
        <v>652</v>
      </c>
      <c r="I233" s="7"/>
      <c r="J233" s="7"/>
      <c r="K233" s="7"/>
      <c r="L233" s="33"/>
      <c r="M233" s="60"/>
    </row>
    <row r="234" spans="1:13" x14ac:dyDescent="0.2">
      <c r="A234" s="7" t="s">
        <v>52</v>
      </c>
      <c r="B234" s="7" t="s">
        <v>641</v>
      </c>
      <c r="C234" s="8"/>
      <c r="D234" s="33"/>
      <c r="E234" s="7" t="s">
        <v>787</v>
      </c>
      <c r="F234" s="10"/>
      <c r="G234" s="7" t="s">
        <v>788</v>
      </c>
      <c r="H234" s="7" t="s">
        <v>661</v>
      </c>
      <c r="I234" s="7"/>
      <c r="J234" s="7"/>
      <c r="K234" s="7"/>
      <c r="L234" s="33"/>
      <c r="M234" s="60"/>
    </row>
    <row r="235" spans="1:13" x14ac:dyDescent="0.2">
      <c r="A235" s="7" t="s">
        <v>52</v>
      </c>
      <c r="B235" s="7" t="s">
        <v>697</v>
      </c>
      <c r="C235" s="8"/>
      <c r="D235" s="33"/>
      <c r="E235" s="7" t="s">
        <v>789</v>
      </c>
      <c r="F235" s="10"/>
      <c r="G235" s="7" t="s">
        <v>790</v>
      </c>
      <c r="H235" s="7" t="s">
        <v>791</v>
      </c>
      <c r="I235" s="7"/>
      <c r="J235" s="7"/>
      <c r="K235" s="7"/>
      <c r="L235" s="33"/>
      <c r="M235" s="59" t="s">
        <v>525</v>
      </c>
    </row>
    <row r="236" spans="1:13" x14ac:dyDescent="0.2">
      <c r="A236" s="7" t="s">
        <v>184</v>
      </c>
      <c r="B236" s="7" t="s">
        <v>599</v>
      </c>
      <c r="C236" s="8"/>
      <c r="D236" s="33"/>
      <c r="E236" s="7" t="s">
        <v>792</v>
      </c>
      <c r="F236" s="10"/>
      <c r="G236" s="7" t="s">
        <v>793</v>
      </c>
      <c r="H236" s="7" t="s">
        <v>794</v>
      </c>
      <c r="I236" s="7"/>
      <c r="J236" s="7"/>
      <c r="K236" s="7"/>
      <c r="L236" s="33"/>
      <c r="M236" s="59" t="s">
        <v>795</v>
      </c>
    </row>
    <row r="237" spans="1:13" x14ac:dyDescent="0.2">
      <c r="A237" s="7" t="s">
        <v>184</v>
      </c>
      <c r="B237" s="7" t="s">
        <v>599</v>
      </c>
      <c r="C237" s="8"/>
      <c r="D237" s="33"/>
      <c r="E237" s="7" t="s">
        <v>796</v>
      </c>
      <c r="F237" s="10"/>
      <c r="G237" s="7" t="s">
        <v>797</v>
      </c>
      <c r="H237" s="7" t="s">
        <v>798</v>
      </c>
      <c r="I237" s="7"/>
      <c r="J237" s="7"/>
      <c r="K237" s="7"/>
      <c r="L237" s="33"/>
      <c r="M237" s="59">
        <v>6</v>
      </c>
    </row>
    <row r="238" spans="1:13" x14ac:dyDescent="0.2">
      <c r="A238" s="7" t="s">
        <v>184</v>
      </c>
      <c r="B238" s="7" t="s">
        <v>599</v>
      </c>
      <c r="C238" s="8"/>
      <c r="D238" s="33"/>
      <c r="E238" s="7" t="s">
        <v>799</v>
      </c>
      <c r="F238" s="10"/>
      <c r="G238" s="7" t="s">
        <v>800</v>
      </c>
      <c r="H238" s="7" t="s">
        <v>798</v>
      </c>
      <c r="I238" s="7"/>
      <c r="J238" s="7"/>
      <c r="K238" s="7"/>
      <c r="L238" s="33"/>
      <c r="M238" s="59">
        <v>11</v>
      </c>
    </row>
    <row r="239" spans="1:13" x14ac:dyDescent="0.2">
      <c r="A239" s="7" t="s">
        <v>184</v>
      </c>
      <c r="B239" s="7" t="s">
        <v>599</v>
      </c>
      <c r="C239" s="8"/>
      <c r="D239" s="33"/>
      <c r="E239" s="7" t="s">
        <v>801</v>
      </c>
      <c r="F239" s="10"/>
      <c r="G239" s="7" t="s">
        <v>802</v>
      </c>
      <c r="H239" s="7" t="s">
        <v>626</v>
      </c>
      <c r="I239" s="7"/>
      <c r="J239" s="7"/>
      <c r="K239" s="7"/>
      <c r="L239" s="33"/>
      <c r="M239" s="59" t="s">
        <v>525</v>
      </c>
    </row>
    <row r="240" spans="1:13" x14ac:dyDescent="0.2">
      <c r="A240" s="7" t="s">
        <v>184</v>
      </c>
      <c r="B240" s="7" t="s">
        <v>599</v>
      </c>
      <c r="C240" s="8"/>
      <c r="D240" s="33"/>
      <c r="E240" s="7" t="s">
        <v>803</v>
      </c>
      <c r="F240" s="10"/>
      <c r="G240" s="7" t="s">
        <v>804</v>
      </c>
      <c r="H240" s="7" t="s">
        <v>805</v>
      </c>
      <c r="I240" s="7"/>
      <c r="J240" s="7"/>
      <c r="K240" s="7"/>
      <c r="L240" s="33"/>
      <c r="M240" s="59" t="s">
        <v>525</v>
      </c>
    </row>
    <row r="241" spans="1:13" x14ac:dyDescent="0.2">
      <c r="A241" s="7" t="s">
        <v>184</v>
      </c>
      <c r="B241" s="7" t="s">
        <v>599</v>
      </c>
      <c r="C241" s="8"/>
      <c r="D241" s="33"/>
      <c r="E241" s="7" t="s">
        <v>806</v>
      </c>
      <c r="F241" s="10"/>
      <c r="G241" s="7" t="s">
        <v>807</v>
      </c>
      <c r="H241" s="7" t="s">
        <v>623</v>
      </c>
      <c r="I241" s="7"/>
      <c r="J241" s="7"/>
      <c r="K241" s="7"/>
      <c r="L241" s="33"/>
      <c r="M241" s="59" t="s">
        <v>525</v>
      </c>
    </row>
    <row r="242" spans="1:13" x14ac:dyDescent="0.2">
      <c r="A242" s="7" t="s">
        <v>184</v>
      </c>
      <c r="B242" s="7" t="s">
        <v>599</v>
      </c>
      <c r="C242" s="8"/>
      <c r="D242" s="33"/>
      <c r="E242" s="7" t="s">
        <v>808</v>
      </c>
      <c r="F242" s="10"/>
      <c r="G242" s="7" t="s">
        <v>809</v>
      </c>
      <c r="H242" s="7" t="s">
        <v>623</v>
      </c>
      <c r="I242" s="7"/>
      <c r="J242" s="7"/>
      <c r="K242" s="7"/>
      <c r="L242" s="33"/>
      <c r="M242" s="59" t="s">
        <v>525</v>
      </c>
    </row>
    <row r="243" spans="1:13" x14ac:dyDescent="0.2">
      <c r="A243" s="7" t="s">
        <v>184</v>
      </c>
      <c r="B243" s="7" t="s">
        <v>599</v>
      </c>
      <c r="C243" s="8"/>
      <c r="D243" s="33"/>
      <c r="E243" s="7" t="s">
        <v>810</v>
      </c>
      <c r="F243" s="10"/>
      <c r="G243" s="7" t="s">
        <v>811</v>
      </c>
      <c r="H243" s="7" t="s">
        <v>626</v>
      </c>
      <c r="I243" s="7"/>
      <c r="J243" s="7"/>
      <c r="K243" s="7"/>
      <c r="L243" s="33"/>
      <c r="M243" s="59" t="s">
        <v>525</v>
      </c>
    </row>
    <row r="244" spans="1:13" x14ac:dyDescent="0.2">
      <c r="A244" s="7" t="s">
        <v>184</v>
      </c>
      <c r="B244" s="7" t="s">
        <v>599</v>
      </c>
      <c r="C244" s="8"/>
      <c r="D244" s="33"/>
      <c r="E244" s="7" t="s">
        <v>812</v>
      </c>
      <c r="F244" s="10"/>
      <c r="G244" s="7" t="s">
        <v>813</v>
      </c>
      <c r="H244" s="7" t="s">
        <v>626</v>
      </c>
      <c r="I244" s="7"/>
      <c r="J244" s="7"/>
      <c r="K244" s="7"/>
      <c r="L244" s="33"/>
      <c r="M244" s="59" t="s">
        <v>525</v>
      </c>
    </row>
    <row r="245" spans="1:13" x14ac:dyDescent="0.2">
      <c r="A245" s="7" t="s">
        <v>184</v>
      </c>
      <c r="B245" s="7" t="s">
        <v>599</v>
      </c>
      <c r="C245" s="8"/>
      <c r="D245" s="33"/>
      <c r="E245" s="7" t="s">
        <v>814</v>
      </c>
      <c r="F245" s="10"/>
      <c r="G245" s="7" t="s">
        <v>815</v>
      </c>
      <c r="H245" s="7" t="s">
        <v>626</v>
      </c>
      <c r="I245" s="7"/>
      <c r="J245" s="7"/>
      <c r="K245" s="7"/>
      <c r="L245" s="33"/>
      <c r="M245" s="59" t="s">
        <v>525</v>
      </c>
    </row>
    <row r="246" spans="1:13" x14ac:dyDescent="0.2">
      <c r="A246" s="7" t="s">
        <v>184</v>
      </c>
      <c r="B246" s="7" t="s">
        <v>599</v>
      </c>
      <c r="C246" s="8"/>
      <c r="D246" s="33"/>
      <c r="E246" s="7" t="s">
        <v>816</v>
      </c>
      <c r="F246" s="10"/>
      <c r="G246" s="7" t="s">
        <v>817</v>
      </c>
      <c r="H246" s="7" t="s">
        <v>626</v>
      </c>
      <c r="I246" s="7"/>
      <c r="J246" s="7"/>
      <c r="K246" s="7"/>
      <c r="L246" s="33"/>
      <c r="M246" s="59" t="s">
        <v>525</v>
      </c>
    </row>
    <row r="247" spans="1:13" x14ac:dyDescent="0.2">
      <c r="A247" s="7" t="s">
        <v>184</v>
      </c>
      <c r="B247" s="7" t="s">
        <v>599</v>
      </c>
      <c r="C247" s="8"/>
      <c r="D247" s="33"/>
      <c r="E247" s="7" t="s">
        <v>818</v>
      </c>
      <c r="F247" s="10"/>
      <c r="G247" s="7" t="s">
        <v>819</v>
      </c>
      <c r="H247" s="7" t="s">
        <v>626</v>
      </c>
      <c r="I247" s="7"/>
      <c r="J247" s="7"/>
      <c r="K247" s="7"/>
      <c r="L247" s="33"/>
      <c r="M247" s="59" t="s">
        <v>525</v>
      </c>
    </row>
    <row r="248" spans="1:13" x14ac:dyDescent="0.2">
      <c r="A248" s="7" t="s">
        <v>184</v>
      </c>
      <c r="B248" s="7" t="s">
        <v>599</v>
      </c>
      <c r="C248" s="8"/>
      <c r="D248" s="33"/>
      <c r="E248" s="7" t="s">
        <v>820</v>
      </c>
      <c r="F248" s="10"/>
      <c r="G248" s="7" t="s">
        <v>821</v>
      </c>
      <c r="H248" s="7" t="s">
        <v>626</v>
      </c>
      <c r="I248" s="7"/>
      <c r="J248" s="7"/>
      <c r="K248" s="7"/>
      <c r="L248" s="33"/>
      <c r="M248" s="59" t="s">
        <v>525</v>
      </c>
    </row>
    <row r="249" spans="1:13" x14ac:dyDescent="0.2">
      <c r="A249" s="7" t="s">
        <v>184</v>
      </c>
      <c r="B249" s="7" t="s">
        <v>599</v>
      </c>
      <c r="C249" s="8"/>
      <c r="D249" s="33"/>
      <c r="E249" s="7" t="s">
        <v>822</v>
      </c>
      <c r="F249" s="10"/>
      <c r="G249" s="7" t="s">
        <v>823</v>
      </c>
      <c r="H249" s="7" t="s">
        <v>626</v>
      </c>
      <c r="I249" s="7"/>
      <c r="J249" s="7"/>
      <c r="K249" s="7"/>
      <c r="L249" s="33"/>
      <c r="M249" s="59" t="s">
        <v>525</v>
      </c>
    </row>
    <row r="250" spans="1:13" x14ac:dyDescent="0.2">
      <c r="A250" s="7" t="s">
        <v>184</v>
      </c>
      <c r="B250" s="7" t="s">
        <v>599</v>
      </c>
      <c r="C250" s="8"/>
      <c r="D250" s="33"/>
      <c r="E250" s="7" t="s">
        <v>824</v>
      </c>
      <c r="F250" s="10"/>
      <c r="G250" s="7" t="s">
        <v>825</v>
      </c>
      <c r="H250" s="7" t="s">
        <v>626</v>
      </c>
      <c r="I250" s="7"/>
      <c r="J250" s="7"/>
      <c r="K250" s="7"/>
      <c r="L250" s="33"/>
      <c r="M250" s="59" t="s">
        <v>525</v>
      </c>
    </row>
    <row r="251" spans="1:13" x14ac:dyDescent="0.2">
      <c r="A251" s="7" t="s">
        <v>184</v>
      </c>
      <c r="B251" s="7" t="s">
        <v>599</v>
      </c>
      <c r="C251" s="8"/>
      <c r="D251" s="33"/>
      <c r="E251" s="7" t="s">
        <v>826</v>
      </c>
      <c r="F251" s="10"/>
      <c r="G251" s="7" t="s">
        <v>827</v>
      </c>
      <c r="H251" s="7" t="s">
        <v>794</v>
      </c>
      <c r="I251" s="7"/>
      <c r="J251" s="7"/>
      <c r="K251" s="7"/>
      <c r="L251" s="33"/>
      <c r="M251" s="59">
        <v>13</v>
      </c>
    </row>
    <row r="252" spans="1:13" x14ac:dyDescent="0.2">
      <c r="A252" s="7" t="s">
        <v>184</v>
      </c>
      <c r="B252" s="7" t="s">
        <v>599</v>
      </c>
      <c r="C252" s="8"/>
      <c r="D252" s="33"/>
      <c r="E252" s="7" t="s">
        <v>828</v>
      </c>
      <c r="F252" s="10"/>
      <c r="G252" s="7" t="s">
        <v>829</v>
      </c>
      <c r="H252" s="7" t="s">
        <v>794</v>
      </c>
      <c r="I252" s="7"/>
      <c r="J252" s="7"/>
      <c r="K252" s="7"/>
      <c r="L252" s="33"/>
      <c r="M252" s="59">
        <v>7</v>
      </c>
    </row>
    <row r="253" spans="1:13" x14ac:dyDescent="0.2">
      <c r="A253" s="7" t="s">
        <v>184</v>
      </c>
      <c r="B253" s="7" t="s">
        <v>599</v>
      </c>
      <c r="C253" s="8"/>
      <c r="D253" s="33"/>
      <c r="E253" s="7" t="s">
        <v>830</v>
      </c>
      <c r="F253" s="10"/>
      <c r="G253" s="7" t="s">
        <v>831</v>
      </c>
      <c r="H253" s="7" t="s">
        <v>832</v>
      </c>
      <c r="I253" s="7"/>
      <c r="J253" s="7"/>
      <c r="K253" s="7"/>
      <c r="L253" s="33"/>
      <c r="M253" s="59">
        <v>8</v>
      </c>
    </row>
    <row r="254" spans="1:13" x14ac:dyDescent="0.2">
      <c r="A254" s="7" t="s">
        <v>184</v>
      </c>
      <c r="B254" s="7" t="s">
        <v>599</v>
      </c>
      <c r="C254" s="8"/>
      <c r="D254" s="33"/>
      <c r="E254" s="7" t="s">
        <v>833</v>
      </c>
      <c r="F254" s="10"/>
      <c r="G254" s="7" t="s">
        <v>834</v>
      </c>
      <c r="H254" s="7" t="s">
        <v>835</v>
      </c>
      <c r="I254" s="7"/>
      <c r="J254" s="7"/>
      <c r="K254" s="7"/>
      <c r="L254" s="33"/>
      <c r="M254" s="59" t="s">
        <v>525</v>
      </c>
    </row>
    <row r="255" spans="1:13" x14ac:dyDescent="0.2">
      <c r="A255" s="7" t="s">
        <v>184</v>
      </c>
      <c r="B255" s="7" t="s">
        <v>599</v>
      </c>
      <c r="C255" s="8"/>
      <c r="D255" s="33"/>
      <c r="E255" s="7" t="s">
        <v>836</v>
      </c>
      <c r="F255" s="10"/>
      <c r="G255" s="7" t="s">
        <v>837</v>
      </c>
      <c r="H255" s="7" t="s">
        <v>794</v>
      </c>
      <c r="I255" s="7"/>
      <c r="J255" s="7"/>
      <c r="K255" s="7"/>
      <c r="L255" s="33"/>
      <c r="M255" s="59" t="s">
        <v>525</v>
      </c>
    </row>
    <row r="256" spans="1:13" x14ac:dyDescent="0.2">
      <c r="A256" s="7" t="s">
        <v>184</v>
      </c>
      <c r="B256" s="7" t="s">
        <v>599</v>
      </c>
      <c r="C256" s="8"/>
      <c r="D256" s="33"/>
      <c r="E256" s="7" t="s">
        <v>838</v>
      </c>
      <c r="F256" s="10"/>
      <c r="G256" s="7" t="s">
        <v>839</v>
      </c>
      <c r="H256" s="7" t="s">
        <v>615</v>
      </c>
      <c r="I256" s="7"/>
      <c r="J256" s="7"/>
      <c r="K256" s="7"/>
      <c r="L256" s="33"/>
      <c r="M256" s="59" t="s">
        <v>525</v>
      </c>
    </row>
    <row r="257" spans="1:13" x14ac:dyDescent="0.2">
      <c r="A257" s="7" t="s">
        <v>184</v>
      </c>
      <c r="B257" s="7" t="s">
        <v>599</v>
      </c>
      <c r="C257" s="8"/>
      <c r="D257" s="33"/>
      <c r="E257" s="7" t="s">
        <v>840</v>
      </c>
      <c r="F257" s="10"/>
      <c r="G257" s="7" t="s">
        <v>841</v>
      </c>
      <c r="H257" s="7" t="s">
        <v>794</v>
      </c>
      <c r="I257" s="7"/>
      <c r="J257" s="7"/>
      <c r="K257" s="7"/>
      <c r="L257" s="33"/>
      <c r="M257" s="59" t="s">
        <v>525</v>
      </c>
    </row>
    <row r="258" spans="1:13" x14ac:dyDescent="0.2">
      <c r="A258" s="7" t="s">
        <v>184</v>
      </c>
      <c r="B258" s="7" t="s">
        <v>599</v>
      </c>
      <c r="C258" s="8"/>
      <c r="D258" s="33"/>
      <c r="E258" s="7" t="s">
        <v>842</v>
      </c>
      <c r="F258" s="10"/>
      <c r="G258" s="7" t="s">
        <v>843</v>
      </c>
      <c r="H258" s="7" t="s">
        <v>794</v>
      </c>
      <c r="I258" s="7"/>
      <c r="J258" s="7"/>
      <c r="K258" s="7"/>
      <c r="L258" s="33"/>
      <c r="M258" s="59" t="s">
        <v>525</v>
      </c>
    </row>
    <row r="259" spans="1:13" x14ac:dyDescent="0.2">
      <c r="A259" s="7" t="s">
        <v>184</v>
      </c>
      <c r="B259" s="7" t="s">
        <v>599</v>
      </c>
      <c r="C259" s="8"/>
      <c r="D259" s="33"/>
      <c r="E259" s="7" t="s">
        <v>844</v>
      </c>
      <c r="F259" s="10"/>
      <c r="G259" s="7" t="s">
        <v>845</v>
      </c>
      <c r="H259" s="7" t="s">
        <v>794</v>
      </c>
      <c r="I259" s="7"/>
      <c r="J259" s="7"/>
      <c r="K259" s="7"/>
      <c r="L259" s="33"/>
      <c r="M259" s="59" t="s">
        <v>525</v>
      </c>
    </row>
    <row r="260" spans="1:13" x14ac:dyDescent="0.2">
      <c r="A260" s="7" t="s">
        <v>184</v>
      </c>
      <c r="B260" s="7" t="s">
        <v>641</v>
      </c>
      <c r="C260" s="8"/>
      <c r="D260" s="33"/>
      <c r="E260" s="7" t="s">
        <v>846</v>
      </c>
      <c r="F260" s="10"/>
      <c r="G260" s="7" t="s">
        <v>847</v>
      </c>
      <c r="H260" s="7" t="s">
        <v>848</v>
      </c>
      <c r="I260" s="7"/>
      <c r="J260" s="7"/>
      <c r="K260" s="7"/>
      <c r="L260" s="33"/>
      <c r="M260" s="60"/>
    </row>
    <row r="261" spans="1:13" x14ac:dyDescent="0.2">
      <c r="A261" s="7" t="s">
        <v>184</v>
      </c>
      <c r="B261" s="7" t="s">
        <v>641</v>
      </c>
      <c r="C261" s="8"/>
      <c r="D261" s="33"/>
      <c r="E261" s="7" t="s">
        <v>849</v>
      </c>
      <c r="F261" s="10"/>
      <c r="G261" s="7" t="s">
        <v>850</v>
      </c>
      <c r="H261" s="7" t="s">
        <v>851</v>
      </c>
      <c r="I261" s="7"/>
      <c r="J261" s="7"/>
      <c r="K261" s="7"/>
      <c r="L261" s="33"/>
      <c r="M261" s="60"/>
    </row>
    <row r="262" spans="1:13" x14ac:dyDescent="0.2">
      <c r="A262" s="7" t="s">
        <v>184</v>
      </c>
      <c r="B262" s="7" t="s">
        <v>641</v>
      </c>
      <c r="C262" s="8"/>
      <c r="D262" s="33"/>
      <c r="E262" s="7" t="s">
        <v>852</v>
      </c>
      <c r="F262" s="10"/>
      <c r="G262" s="7" t="s">
        <v>853</v>
      </c>
      <c r="H262" s="7" t="s">
        <v>854</v>
      </c>
      <c r="I262" s="7"/>
      <c r="J262" s="7"/>
      <c r="K262" s="7"/>
      <c r="L262" s="33"/>
      <c r="M262" s="60"/>
    </row>
    <row r="263" spans="1:13" x14ac:dyDescent="0.2">
      <c r="A263" s="7" t="s">
        <v>184</v>
      </c>
      <c r="B263" s="7" t="s">
        <v>641</v>
      </c>
      <c r="C263" s="8"/>
      <c r="D263" s="33"/>
      <c r="E263" s="7" t="s">
        <v>855</v>
      </c>
      <c r="F263" s="10"/>
      <c r="G263" s="7" t="s">
        <v>856</v>
      </c>
      <c r="H263" s="7" t="s">
        <v>857</v>
      </c>
      <c r="I263" s="7"/>
      <c r="J263" s="7"/>
      <c r="K263" s="7"/>
      <c r="L263" s="33"/>
      <c r="M263" s="60"/>
    </row>
    <row r="264" spans="1:13" x14ac:dyDescent="0.2">
      <c r="A264" s="7" t="s">
        <v>184</v>
      </c>
      <c r="B264" s="7" t="s">
        <v>641</v>
      </c>
      <c r="C264" s="8"/>
      <c r="D264" s="33"/>
      <c r="E264" s="7" t="s">
        <v>858</v>
      </c>
      <c r="F264" s="10"/>
      <c r="G264" s="7" t="s">
        <v>859</v>
      </c>
      <c r="H264" s="7" t="s">
        <v>860</v>
      </c>
      <c r="I264" s="7"/>
      <c r="J264" s="7"/>
      <c r="K264" s="7"/>
      <c r="L264" s="33"/>
      <c r="M264" s="60"/>
    </row>
    <row r="265" spans="1:13" x14ac:dyDescent="0.2">
      <c r="A265" s="7" t="s">
        <v>184</v>
      </c>
      <c r="B265" s="7" t="s">
        <v>641</v>
      </c>
      <c r="C265" s="8"/>
      <c r="D265" s="33"/>
      <c r="E265" s="7" t="s">
        <v>861</v>
      </c>
      <c r="F265" s="10"/>
      <c r="G265" s="7" t="s">
        <v>862</v>
      </c>
      <c r="H265" s="7" t="s">
        <v>700</v>
      </c>
      <c r="I265" s="7"/>
      <c r="J265" s="7"/>
      <c r="K265" s="7"/>
      <c r="L265" s="33"/>
      <c r="M265" s="60"/>
    </row>
    <row r="266" spans="1:13" x14ac:dyDescent="0.2">
      <c r="A266" s="7" t="s">
        <v>184</v>
      </c>
      <c r="B266" s="7" t="s">
        <v>641</v>
      </c>
      <c r="C266" s="8"/>
      <c r="D266" s="33"/>
      <c r="E266" s="7" t="s">
        <v>863</v>
      </c>
      <c r="F266" s="10"/>
      <c r="G266" s="7" t="s">
        <v>864</v>
      </c>
      <c r="H266" s="7" t="s">
        <v>700</v>
      </c>
      <c r="I266" s="7"/>
      <c r="J266" s="7"/>
      <c r="K266" s="7"/>
      <c r="L266" s="33"/>
      <c r="M266" s="60"/>
    </row>
    <row r="267" spans="1:13" x14ac:dyDescent="0.2">
      <c r="A267" s="7" t="s">
        <v>184</v>
      </c>
      <c r="B267" s="7" t="s">
        <v>641</v>
      </c>
      <c r="C267" s="8"/>
      <c r="D267" s="33"/>
      <c r="E267" s="7" t="s">
        <v>865</v>
      </c>
      <c r="F267" s="10"/>
      <c r="G267" s="7" t="s">
        <v>866</v>
      </c>
      <c r="H267" s="7" t="s">
        <v>867</v>
      </c>
      <c r="I267" s="7"/>
      <c r="J267" s="7"/>
      <c r="K267" s="7"/>
      <c r="L267" s="33"/>
      <c r="M267" s="60"/>
    </row>
    <row r="268" spans="1:13" x14ac:dyDescent="0.2">
      <c r="A268" s="7" t="s">
        <v>184</v>
      </c>
      <c r="B268" s="7" t="s">
        <v>641</v>
      </c>
      <c r="C268" s="8"/>
      <c r="D268" s="33"/>
      <c r="E268" s="7" t="s">
        <v>868</v>
      </c>
      <c r="F268" s="10"/>
      <c r="G268" s="7" t="s">
        <v>869</v>
      </c>
      <c r="H268" s="7" t="s">
        <v>870</v>
      </c>
      <c r="I268" s="7"/>
      <c r="J268" s="7"/>
      <c r="K268" s="7"/>
      <c r="L268" s="33"/>
      <c r="M268" s="60"/>
    </row>
    <row r="269" spans="1:13" x14ac:dyDescent="0.2">
      <c r="A269" s="7" t="s">
        <v>184</v>
      </c>
      <c r="B269" s="7" t="s">
        <v>641</v>
      </c>
      <c r="C269" s="8"/>
      <c r="D269" s="33"/>
      <c r="E269" s="7" t="s">
        <v>871</v>
      </c>
      <c r="F269" s="10"/>
      <c r="G269" s="7" t="s">
        <v>872</v>
      </c>
      <c r="H269" s="7" t="s">
        <v>694</v>
      </c>
      <c r="I269" s="7"/>
      <c r="J269" s="7"/>
      <c r="K269" s="7"/>
      <c r="L269" s="33"/>
      <c r="M269" s="60"/>
    </row>
    <row r="270" spans="1:13" ht="27.75" x14ac:dyDescent="0.2">
      <c r="A270" s="7" t="s">
        <v>184</v>
      </c>
      <c r="B270" s="7" t="s">
        <v>641</v>
      </c>
      <c r="C270" s="8"/>
      <c r="D270" s="33"/>
      <c r="E270" s="7" t="s">
        <v>873</v>
      </c>
      <c r="F270" s="10"/>
      <c r="G270" s="7" t="s">
        <v>874</v>
      </c>
      <c r="H270" s="49" t="s">
        <v>875</v>
      </c>
      <c r="I270" s="49"/>
      <c r="J270" s="7"/>
      <c r="K270" s="49"/>
      <c r="L270" s="33"/>
      <c r="M270" s="60"/>
    </row>
    <row r="271" spans="1:13" x14ac:dyDescent="0.2">
      <c r="A271" s="7" t="s">
        <v>184</v>
      </c>
      <c r="B271" s="7" t="s">
        <v>641</v>
      </c>
      <c r="C271" s="8"/>
      <c r="D271" s="33"/>
      <c r="E271" s="7" t="s">
        <v>876</v>
      </c>
      <c r="F271" s="10"/>
      <c r="G271" s="7" t="s">
        <v>877</v>
      </c>
      <c r="H271" s="7" t="s">
        <v>878</v>
      </c>
      <c r="I271" s="7"/>
      <c r="J271" s="7"/>
      <c r="K271" s="7"/>
      <c r="L271" s="33"/>
      <c r="M271" s="60"/>
    </row>
    <row r="272" spans="1:13" x14ac:dyDescent="0.2">
      <c r="A272" s="7" t="s">
        <v>184</v>
      </c>
      <c r="B272" s="7" t="s">
        <v>641</v>
      </c>
      <c r="C272" s="8"/>
      <c r="D272" s="33"/>
      <c r="E272" s="7" t="s">
        <v>879</v>
      </c>
      <c r="F272" s="10"/>
      <c r="G272" s="7" t="s">
        <v>880</v>
      </c>
      <c r="H272" s="7" t="s">
        <v>878</v>
      </c>
      <c r="I272" s="7"/>
      <c r="J272" s="7"/>
      <c r="K272" s="7"/>
      <c r="L272" s="33"/>
      <c r="M272" s="60"/>
    </row>
    <row r="273" spans="1:13" x14ac:dyDescent="0.2">
      <c r="A273" s="7" t="s">
        <v>184</v>
      </c>
      <c r="B273" s="7" t="s">
        <v>641</v>
      </c>
      <c r="C273" s="8"/>
      <c r="D273" s="33"/>
      <c r="E273" s="7" t="s">
        <v>881</v>
      </c>
      <c r="F273" s="10"/>
      <c r="G273" s="7" t="s">
        <v>882</v>
      </c>
      <c r="H273" s="7" t="s">
        <v>883</v>
      </c>
      <c r="I273" s="7"/>
      <c r="J273" s="7"/>
      <c r="K273" s="7"/>
      <c r="L273" s="33"/>
      <c r="M273" s="60"/>
    </row>
    <row r="274" spans="1:13" x14ac:dyDescent="0.2">
      <c r="A274" s="37" t="s">
        <v>184</v>
      </c>
      <c r="B274" s="37" t="s">
        <v>641</v>
      </c>
      <c r="C274" s="43"/>
      <c r="D274" s="44"/>
      <c r="E274" s="37" t="s">
        <v>884</v>
      </c>
      <c r="F274" s="10"/>
      <c r="G274" s="37" t="s">
        <v>885</v>
      </c>
      <c r="H274" s="37" t="s">
        <v>886</v>
      </c>
      <c r="I274" s="37"/>
      <c r="J274" s="7"/>
      <c r="K274" s="37"/>
      <c r="L274" s="33"/>
      <c r="M274" s="60"/>
    </row>
    <row r="275" spans="1:13" x14ac:dyDescent="0.2">
      <c r="A275" s="7" t="s">
        <v>184</v>
      </c>
      <c r="B275" s="7" t="s">
        <v>641</v>
      </c>
      <c r="C275" s="8"/>
      <c r="D275" s="33"/>
      <c r="E275" s="7" t="s">
        <v>887</v>
      </c>
      <c r="F275" s="10"/>
      <c r="G275" s="7" t="s">
        <v>888</v>
      </c>
      <c r="H275" s="7" t="s">
        <v>889</v>
      </c>
      <c r="I275" s="7"/>
      <c r="J275" s="7"/>
      <c r="K275" s="7"/>
      <c r="L275" s="33"/>
      <c r="M275" s="60"/>
    </row>
    <row r="276" spans="1:13" x14ac:dyDescent="0.2">
      <c r="A276" s="7" t="s">
        <v>184</v>
      </c>
      <c r="B276" s="7" t="s">
        <v>641</v>
      </c>
      <c r="C276" s="8"/>
      <c r="D276" s="33"/>
      <c r="E276" s="7" t="s">
        <v>890</v>
      </c>
      <c r="F276" s="10"/>
      <c r="G276" s="7" t="s">
        <v>891</v>
      </c>
      <c r="H276" s="7" t="s">
        <v>892</v>
      </c>
      <c r="I276" s="7"/>
      <c r="J276" s="7"/>
      <c r="K276" s="7"/>
      <c r="L276" s="33"/>
      <c r="M276" s="60"/>
    </row>
    <row r="277" spans="1:13" x14ac:dyDescent="0.2">
      <c r="A277" s="7" t="s">
        <v>184</v>
      </c>
      <c r="B277" s="7" t="s">
        <v>641</v>
      </c>
      <c r="C277" s="8"/>
      <c r="D277" s="33"/>
      <c r="E277" s="7" t="s">
        <v>893</v>
      </c>
      <c r="F277" s="10"/>
      <c r="G277" s="7" t="s">
        <v>894</v>
      </c>
      <c r="H277" s="7" t="s">
        <v>895</v>
      </c>
      <c r="I277" s="7"/>
      <c r="J277" s="7"/>
      <c r="K277" s="7"/>
      <c r="L277" s="33"/>
      <c r="M277" s="60"/>
    </row>
    <row r="278" spans="1:13" x14ac:dyDescent="0.2">
      <c r="A278" s="7" t="s">
        <v>184</v>
      </c>
      <c r="B278" s="7" t="s">
        <v>641</v>
      </c>
      <c r="C278" s="8"/>
      <c r="D278" s="33"/>
      <c r="E278" s="7" t="s">
        <v>896</v>
      </c>
      <c r="F278" s="10"/>
      <c r="G278" s="7" t="s">
        <v>897</v>
      </c>
      <c r="H278" s="7" t="s">
        <v>898</v>
      </c>
      <c r="I278" s="7"/>
      <c r="J278" s="7"/>
      <c r="K278" s="7"/>
      <c r="L278" s="33"/>
      <c r="M278" s="60"/>
    </row>
    <row r="279" spans="1:13" x14ac:dyDescent="0.2">
      <c r="A279" s="7" t="s">
        <v>184</v>
      </c>
      <c r="B279" s="7" t="s">
        <v>641</v>
      </c>
      <c r="C279" s="8"/>
      <c r="D279" s="33"/>
      <c r="E279" s="7" t="s">
        <v>899</v>
      </c>
      <c r="F279" s="10"/>
      <c r="G279" s="7" t="s">
        <v>900</v>
      </c>
      <c r="H279" s="7" t="s">
        <v>883</v>
      </c>
      <c r="I279" s="7"/>
      <c r="J279" s="7"/>
      <c r="K279" s="7"/>
      <c r="L279" s="33"/>
      <c r="M279" s="60"/>
    </row>
    <row r="280" spans="1:13" x14ac:dyDescent="0.2">
      <c r="A280" s="7" t="s">
        <v>184</v>
      </c>
      <c r="B280" s="7" t="s">
        <v>641</v>
      </c>
      <c r="C280" s="8"/>
      <c r="D280" s="33"/>
      <c r="E280" s="7" t="s">
        <v>901</v>
      </c>
      <c r="F280" s="10"/>
      <c r="G280" s="7" t="s">
        <v>902</v>
      </c>
      <c r="H280" s="7" t="s">
        <v>848</v>
      </c>
      <c r="I280" s="7"/>
      <c r="J280" s="7"/>
      <c r="K280" s="7"/>
      <c r="L280" s="33"/>
      <c r="M280" s="60"/>
    </row>
    <row r="281" spans="1:13" x14ac:dyDescent="0.2">
      <c r="A281" s="7" t="s">
        <v>184</v>
      </c>
      <c r="B281" s="7" t="s">
        <v>641</v>
      </c>
      <c r="C281" s="8"/>
      <c r="D281" s="33"/>
      <c r="E281" s="7" t="s">
        <v>903</v>
      </c>
      <c r="F281" s="10"/>
      <c r="G281" s="7" t="s">
        <v>904</v>
      </c>
      <c r="H281" s="7" t="s">
        <v>905</v>
      </c>
      <c r="I281" s="7"/>
      <c r="J281" s="7"/>
      <c r="K281" s="7"/>
      <c r="L281" s="33"/>
      <c r="M281" s="60"/>
    </row>
    <row r="282" spans="1:13" x14ac:dyDescent="0.2">
      <c r="A282" s="7" t="s">
        <v>184</v>
      </c>
      <c r="B282" s="7" t="s">
        <v>641</v>
      </c>
      <c r="C282" s="8"/>
      <c r="D282" s="33"/>
      <c r="E282" s="7" t="s">
        <v>906</v>
      </c>
      <c r="F282" s="10"/>
      <c r="G282" s="7" t="s">
        <v>907</v>
      </c>
      <c r="H282" s="7" t="s">
        <v>908</v>
      </c>
      <c r="I282" s="7"/>
      <c r="J282" s="7"/>
      <c r="K282" s="7"/>
      <c r="L282" s="33"/>
      <c r="M282" s="60"/>
    </row>
    <row r="283" spans="1:13" x14ac:dyDescent="0.2">
      <c r="A283" s="7" t="s">
        <v>184</v>
      </c>
      <c r="B283" s="7" t="s">
        <v>641</v>
      </c>
      <c r="C283" s="8"/>
      <c r="D283" s="33"/>
      <c r="E283" s="7" t="s">
        <v>909</v>
      </c>
      <c r="F283" s="10"/>
      <c r="G283" s="7" t="s">
        <v>910</v>
      </c>
      <c r="H283" s="7" t="s">
        <v>911</v>
      </c>
      <c r="I283" s="7"/>
      <c r="J283" s="7"/>
      <c r="K283" s="7"/>
      <c r="L283" s="33"/>
      <c r="M283" s="60"/>
    </row>
    <row r="284" spans="1:13" x14ac:dyDescent="0.2">
      <c r="A284" s="7" t="s">
        <v>184</v>
      </c>
      <c r="B284" s="7" t="s">
        <v>641</v>
      </c>
      <c r="C284" s="8"/>
      <c r="D284" s="33"/>
      <c r="E284" s="7" t="s">
        <v>912</v>
      </c>
      <c r="F284" s="10"/>
      <c r="G284" s="7" t="s">
        <v>913</v>
      </c>
      <c r="H284" s="7" t="s">
        <v>914</v>
      </c>
      <c r="I284" s="7"/>
      <c r="J284" s="7"/>
      <c r="K284" s="7"/>
      <c r="L284" s="33"/>
      <c r="M284" s="60"/>
    </row>
    <row r="285" spans="1:13" x14ac:dyDescent="0.2">
      <c r="A285" s="7" t="s">
        <v>184</v>
      </c>
      <c r="B285" s="7" t="s">
        <v>641</v>
      </c>
      <c r="C285" s="8"/>
      <c r="D285" s="33"/>
      <c r="E285" s="7" t="s">
        <v>915</v>
      </c>
      <c r="F285" s="10"/>
      <c r="G285" s="7" t="s">
        <v>916</v>
      </c>
      <c r="H285" s="7" t="s">
        <v>917</v>
      </c>
      <c r="I285" s="7"/>
      <c r="J285" s="7"/>
      <c r="K285" s="7"/>
      <c r="L285" s="33"/>
      <c r="M285" s="60"/>
    </row>
    <row r="286" spans="1:13" x14ac:dyDescent="0.2">
      <c r="A286" s="7" t="s">
        <v>184</v>
      </c>
      <c r="B286" s="7" t="s">
        <v>641</v>
      </c>
      <c r="C286" s="8"/>
      <c r="D286" s="33"/>
      <c r="E286" s="7" t="s">
        <v>918</v>
      </c>
      <c r="F286" s="10"/>
      <c r="G286" s="7" t="s">
        <v>919</v>
      </c>
      <c r="H286" s="7" t="s">
        <v>920</v>
      </c>
      <c r="I286" s="7"/>
      <c r="J286" s="7"/>
      <c r="K286" s="7"/>
      <c r="L286" s="33"/>
      <c r="M286" s="60"/>
    </row>
    <row r="287" spans="1:13" x14ac:dyDescent="0.2">
      <c r="A287" s="7" t="s">
        <v>184</v>
      </c>
      <c r="B287" s="7" t="s">
        <v>641</v>
      </c>
      <c r="C287" s="8"/>
      <c r="D287" s="33"/>
      <c r="E287" s="7" t="s">
        <v>921</v>
      </c>
      <c r="F287" s="10"/>
      <c r="G287" s="7" t="s">
        <v>922</v>
      </c>
      <c r="H287" s="7" t="s">
        <v>923</v>
      </c>
      <c r="I287" s="7"/>
      <c r="J287" s="7"/>
      <c r="K287" s="7"/>
      <c r="L287" s="33"/>
      <c r="M287" s="60"/>
    </row>
    <row r="288" spans="1:13" x14ac:dyDescent="0.2">
      <c r="A288" s="7" t="s">
        <v>184</v>
      </c>
      <c r="B288" s="7" t="s">
        <v>641</v>
      </c>
      <c r="C288" s="8"/>
      <c r="D288" s="33"/>
      <c r="E288" s="7" t="s">
        <v>924</v>
      </c>
      <c r="F288" s="10"/>
      <c r="G288" s="7" t="s">
        <v>925</v>
      </c>
      <c r="H288" s="7" t="s">
        <v>926</v>
      </c>
      <c r="I288" s="7"/>
      <c r="J288" s="7"/>
      <c r="K288" s="7"/>
      <c r="L288" s="33"/>
      <c r="M288" s="60"/>
    </row>
    <row r="289" spans="1:13" x14ac:dyDescent="0.2">
      <c r="A289" s="7" t="s">
        <v>184</v>
      </c>
      <c r="B289" s="7" t="s">
        <v>641</v>
      </c>
      <c r="C289" s="8"/>
      <c r="D289" s="33"/>
      <c r="E289" s="7" t="s">
        <v>927</v>
      </c>
      <c r="F289" s="10"/>
      <c r="G289" s="7" t="s">
        <v>928</v>
      </c>
      <c r="H289" s="7" t="s">
        <v>929</v>
      </c>
      <c r="I289" s="7"/>
      <c r="J289" s="7"/>
      <c r="K289" s="7"/>
      <c r="L289" s="33"/>
      <c r="M289" s="60"/>
    </row>
    <row r="290" spans="1:13" x14ac:dyDescent="0.2">
      <c r="A290" s="7" t="s">
        <v>184</v>
      </c>
      <c r="B290" s="7" t="s">
        <v>641</v>
      </c>
      <c r="C290" s="8"/>
      <c r="D290" s="33"/>
      <c r="E290" s="7" t="s">
        <v>930</v>
      </c>
      <c r="F290" s="10"/>
      <c r="G290" s="7" t="s">
        <v>931</v>
      </c>
      <c r="H290" s="7" t="s">
        <v>929</v>
      </c>
      <c r="I290" s="7"/>
      <c r="J290" s="7"/>
      <c r="K290" s="7"/>
      <c r="L290" s="33"/>
      <c r="M290" s="60"/>
    </row>
    <row r="291" spans="1:13" x14ac:dyDescent="0.2">
      <c r="A291" s="7" t="s">
        <v>184</v>
      </c>
      <c r="B291" s="7" t="s">
        <v>641</v>
      </c>
      <c r="C291" s="8"/>
      <c r="D291" s="33"/>
      <c r="E291" s="7" t="s">
        <v>932</v>
      </c>
      <c r="F291" s="10"/>
      <c r="G291" s="7" t="s">
        <v>933</v>
      </c>
      <c r="H291" s="7" t="s">
        <v>934</v>
      </c>
      <c r="I291" s="7"/>
      <c r="J291" s="7"/>
      <c r="K291" s="7"/>
      <c r="L291" s="33"/>
      <c r="M291" s="60"/>
    </row>
    <row r="292" spans="1:13" x14ac:dyDescent="0.2">
      <c r="A292" s="7" t="s">
        <v>184</v>
      </c>
      <c r="B292" s="7" t="s">
        <v>641</v>
      </c>
      <c r="C292" s="8"/>
      <c r="D292" s="33"/>
      <c r="E292" s="7" t="s">
        <v>935</v>
      </c>
      <c r="F292" s="10"/>
      <c r="G292" s="7" t="s">
        <v>936</v>
      </c>
      <c r="H292" s="7" t="s">
        <v>937</v>
      </c>
      <c r="I292" s="7"/>
      <c r="J292" s="7"/>
      <c r="K292" s="7"/>
      <c r="L292" s="33"/>
      <c r="M292" s="60"/>
    </row>
    <row r="293" spans="1:13" x14ac:dyDescent="0.2">
      <c r="A293" s="7" t="s">
        <v>184</v>
      </c>
      <c r="B293" s="7" t="s">
        <v>641</v>
      </c>
      <c r="C293" s="8"/>
      <c r="D293" s="33"/>
      <c r="E293" s="7" t="s">
        <v>938</v>
      </c>
      <c r="F293" s="10"/>
      <c r="G293" s="7" t="s">
        <v>939</v>
      </c>
      <c r="H293" s="7" t="s">
        <v>848</v>
      </c>
      <c r="I293" s="7"/>
      <c r="J293" s="7"/>
      <c r="K293" s="7"/>
      <c r="L293" s="33"/>
      <c r="M293" s="60"/>
    </row>
    <row r="294" spans="1:13" x14ac:dyDescent="0.2">
      <c r="A294" s="7" t="s">
        <v>525</v>
      </c>
      <c r="B294" s="7" t="s">
        <v>599</v>
      </c>
      <c r="C294" s="8"/>
      <c r="D294" s="33"/>
      <c r="E294" s="7" t="s">
        <v>940</v>
      </c>
      <c r="F294" s="10"/>
      <c r="G294" s="7" t="s">
        <v>941</v>
      </c>
      <c r="H294" s="7" t="s">
        <v>618</v>
      </c>
      <c r="I294" s="7"/>
      <c r="J294" s="7"/>
      <c r="K294" s="7"/>
      <c r="L294" s="33"/>
      <c r="M294" s="60"/>
    </row>
    <row r="295" spans="1:13" x14ac:dyDescent="0.2">
      <c r="A295" s="7" t="s">
        <v>184</v>
      </c>
      <c r="B295" s="7" t="s">
        <v>599</v>
      </c>
      <c r="C295" s="8"/>
      <c r="D295" s="33"/>
      <c r="E295" s="7" t="s">
        <v>942</v>
      </c>
      <c r="F295" s="10"/>
      <c r="G295" s="7" t="s">
        <v>943</v>
      </c>
      <c r="H295" s="7" t="s">
        <v>944</v>
      </c>
      <c r="I295" s="7"/>
      <c r="J295" s="7"/>
      <c r="K295" s="7"/>
      <c r="L295" s="33"/>
      <c r="M295" s="60"/>
    </row>
    <row r="296" spans="1:13" x14ac:dyDescent="0.2">
      <c r="A296" s="61" t="s">
        <v>945</v>
      </c>
      <c r="B296" s="61" t="s">
        <v>945</v>
      </c>
      <c r="C296" s="62"/>
      <c r="D296" s="63"/>
      <c r="E296" s="61" t="s">
        <v>946</v>
      </c>
      <c r="F296" s="64"/>
      <c r="G296" s="61" t="s">
        <v>947</v>
      </c>
      <c r="H296" s="7" t="s">
        <v>948</v>
      </c>
      <c r="I296" s="7"/>
      <c r="J296" s="7"/>
      <c r="K296" s="7"/>
      <c r="L296" s="33"/>
      <c r="M296" s="60"/>
    </row>
    <row r="297" spans="1:13" x14ac:dyDescent="0.2">
      <c r="A297" s="61" t="s">
        <v>945</v>
      </c>
      <c r="B297" s="61" t="s">
        <v>945</v>
      </c>
      <c r="C297" s="62"/>
      <c r="D297" s="63"/>
      <c r="E297" s="61" t="s">
        <v>949</v>
      </c>
      <c r="F297" s="64"/>
      <c r="G297" s="61" t="s">
        <v>950</v>
      </c>
      <c r="H297" s="7" t="s">
        <v>951</v>
      </c>
      <c r="I297" s="7"/>
      <c r="J297" s="7"/>
      <c r="K297" s="7"/>
      <c r="L297" s="33"/>
      <c r="M297" s="60"/>
    </row>
    <row r="298" spans="1:13" x14ac:dyDescent="0.2">
      <c r="A298" s="61" t="s">
        <v>945</v>
      </c>
      <c r="B298" s="61" t="s">
        <v>945</v>
      </c>
      <c r="C298" s="62"/>
      <c r="D298" s="63"/>
      <c r="E298" s="61" t="s">
        <v>952</v>
      </c>
      <c r="F298" s="64"/>
      <c r="G298" s="61" t="s">
        <v>953</v>
      </c>
      <c r="H298" s="7" t="s">
        <v>951</v>
      </c>
      <c r="I298" s="7"/>
      <c r="J298" s="7"/>
      <c r="K298" s="7"/>
      <c r="L298" s="33"/>
      <c r="M298" s="60"/>
    </row>
    <row r="299" spans="1:13" x14ac:dyDescent="0.2">
      <c r="A299" s="61" t="s">
        <v>945</v>
      </c>
      <c r="B299" s="61" t="s">
        <v>945</v>
      </c>
      <c r="C299" s="62"/>
      <c r="D299" s="63"/>
      <c r="E299" s="61" t="s">
        <v>954</v>
      </c>
      <c r="F299" s="64"/>
      <c r="G299" s="61" t="s">
        <v>955</v>
      </c>
      <c r="H299" s="7" t="s">
        <v>956</v>
      </c>
      <c r="I299" s="7"/>
      <c r="J299" s="7"/>
      <c r="K299" s="7"/>
      <c r="L299" s="33"/>
      <c r="M299" s="60">
        <v>6</v>
      </c>
    </row>
    <row r="300" spans="1:13" x14ac:dyDescent="0.2">
      <c r="A300" s="61" t="s">
        <v>945</v>
      </c>
      <c r="B300" s="61" t="s">
        <v>945</v>
      </c>
      <c r="C300" s="62"/>
      <c r="D300" s="63"/>
      <c r="E300" s="61" t="s">
        <v>957</v>
      </c>
      <c r="F300" s="64"/>
      <c r="G300" s="61" t="s">
        <v>958</v>
      </c>
      <c r="H300" s="7" t="s">
        <v>959</v>
      </c>
      <c r="I300" s="7"/>
      <c r="J300" s="7"/>
      <c r="K300" s="7"/>
      <c r="L300" s="33"/>
      <c r="M300" s="60"/>
    </row>
    <row r="301" spans="1:13" x14ac:dyDescent="0.2">
      <c r="A301" s="61" t="s">
        <v>945</v>
      </c>
      <c r="B301" s="61" t="s">
        <v>945</v>
      </c>
      <c r="C301" s="62"/>
      <c r="D301" s="63"/>
      <c r="E301" s="61" t="s">
        <v>960</v>
      </c>
      <c r="F301" s="64"/>
      <c r="G301" s="61" t="s">
        <v>961</v>
      </c>
      <c r="H301" s="7" t="s">
        <v>962</v>
      </c>
      <c r="I301" s="7"/>
      <c r="J301" s="7"/>
      <c r="K301" s="7"/>
      <c r="L301" s="33"/>
      <c r="M301" s="60">
        <v>5</v>
      </c>
    </row>
    <row r="302" spans="1:13" x14ac:dyDescent="0.2">
      <c r="A302" s="61" t="s">
        <v>945</v>
      </c>
      <c r="B302" s="61" t="s">
        <v>945</v>
      </c>
      <c r="C302" s="62"/>
      <c r="D302" s="63"/>
      <c r="E302" s="61" t="s">
        <v>963</v>
      </c>
      <c r="F302" s="64"/>
      <c r="G302" s="61" t="s">
        <v>964</v>
      </c>
      <c r="H302" s="7" t="s">
        <v>965</v>
      </c>
      <c r="I302" s="7"/>
      <c r="J302" s="7"/>
      <c r="K302" s="7"/>
      <c r="L302" s="33"/>
      <c r="M302" s="60"/>
    </row>
    <row r="303" spans="1:13" x14ac:dyDescent="0.2">
      <c r="A303" s="61" t="s">
        <v>945</v>
      </c>
      <c r="B303" s="61" t="s">
        <v>945</v>
      </c>
      <c r="C303" s="62"/>
      <c r="D303" s="63"/>
      <c r="E303" s="61" t="s">
        <v>966</v>
      </c>
      <c r="F303" s="64"/>
      <c r="G303" s="61" t="s">
        <v>967</v>
      </c>
      <c r="H303" s="7" t="s">
        <v>968</v>
      </c>
      <c r="I303" s="7"/>
      <c r="J303" s="7"/>
      <c r="K303" s="7"/>
      <c r="L303" s="33"/>
      <c r="M303" s="60"/>
    </row>
    <row r="304" spans="1:13" x14ac:dyDescent="0.2">
      <c r="A304" s="61" t="s">
        <v>945</v>
      </c>
      <c r="B304" s="61" t="s">
        <v>945</v>
      </c>
      <c r="C304" s="62"/>
      <c r="D304" s="63"/>
      <c r="E304" s="61" t="s">
        <v>969</v>
      </c>
      <c r="F304" s="64"/>
      <c r="G304" s="61" t="s">
        <v>970</v>
      </c>
      <c r="H304" s="7" t="s">
        <v>971</v>
      </c>
      <c r="I304" s="7"/>
      <c r="J304" s="7"/>
      <c r="K304" s="7"/>
      <c r="L304" s="33"/>
      <c r="M304" s="60"/>
    </row>
    <row r="305" spans="1:13" x14ac:dyDescent="0.2">
      <c r="A305" s="61" t="s">
        <v>945</v>
      </c>
      <c r="B305" s="61" t="s">
        <v>945</v>
      </c>
      <c r="C305" s="62"/>
      <c r="D305" s="63"/>
      <c r="E305" s="61" t="s">
        <v>972</v>
      </c>
      <c r="F305" s="64"/>
      <c r="G305" s="61" t="s">
        <v>973</v>
      </c>
      <c r="H305" s="7" t="s">
        <v>626</v>
      </c>
      <c r="I305" s="7"/>
      <c r="J305" s="7"/>
      <c r="K305" s="7"/>
      <c r="L305" s="33"/>
      <c r="M305" s="60"/>
    </row>
    <row r="306" spans="1:13" x14ac:dyDescent="0.2">
      <c r="A306" s="61" t="s">
        <v>945</v>
      </c>
      <c r="B306" s="61" t="s">
        <v>945</v>
      </c>
      <c r="C306" s="62"/>
      <c r="D306" s="63"/>
      <c r="E306" s="61" t="s">
        <v>974</v>
      </c>
      <c r="F306" s="64"/>
      <c r="G306" s="61" t="s">
        <v>975</v>
      </c>
      <c r="H306" s="7" t="s">
        <v>626</v>
      </c>
      <c r="I306" s="7"/>
      <c r="J306" s="7"/>
      <c r="K306" s="7"/>
      <c r="L306" s="33"/>
      <c r="M306" s="60"/>
    </row>
    <row r="307" spans="1:13" x14ac:dyDescent="0.2">
      <c r="A307" s="61" t="s">
        <v>945</v>
      </c>
      <c r="B307" s="61" t="s">
        <v>945</v>
      </c>
      <c r="C307" s="62"/>
      <c r="D307" s="63"/>
      <c r="E307" s="61" t="s">
        <v>976</v>
      </c>
      <c r="F307" s="64"/>
      <c r="G307" s="61" t="s">
        <v>977</v>
      </c>
      <c r="H307" s="7" t="s">
        <v>978</v>
      </c>
      <c r="I307" s="7"/>
      <c r="J307" s="7"/>
      <c r="K307" s="7"/>
      <c r="L307" s="33"/>
      <c r="M307" s="60"/>
    </row>
    <row r="308" spans="1:13" x14ac:dyDescent="0.2">
      <c r="A308" s="61" t="s">
        <v>945</v>
      </c>
      <c r="B308" s="61" t="s">
        <v>945</v>
      </c>
      <c r="C308" s="62"/>
      <c r="D308" s="63"/>
      <c r="E308" s="61" t="s">
        <v>979</v>
      </c>
      <c r="F308" s="64"/>
      <c r="G308" s="61" t="s">
        <v>980</v>
      </c>
      <c r="H308" s="7" t="s">
        <v>626</v>
      </c>
      <c r="I308" s="7"/>
      <c r="J308" s="7"/>
      <c r="K308" s="7"/>
      <c r="L308" s="33"/>
      <c r="M308" s="60"/>
    </row>
    <row r="309" spans="1:13" x14ac:dyDescent="0.2">
      <c r="A309" s="61" t="s">
        <v>945</v>
      </c>
      <c r="B309" s="61" t="s">
        <v>945</v>
      </c>
      <c r="C309" s="62"/>
      <c r="D309" s="63"/>
      <c r="E309" s="61" t="s">
        <v>981</v>
      </c>
      <c r="F309" s="64"/>
      <c r="G309" s="61" t="s">
        <v>982</v>
      </c>
      <c r="H309" s="7" t="s">
        <v>626</v>
      </c>
      <c r="I309" s="7"/>
      <c r="J309" s="7"/>
      <c r="K309" s="7"/>
      <c r="L309" s="33"/>
      <c r="M309" s="60"/>
    </row>
    <row r="310" spans="1:13" x14ac:dyDescent="0.2">
      <c r="A310" s="61" t="s">
        <v>945</v>
      </c>
      <c r="B310" s="61" t="s">
        <v>945</v>
      </c>
      <c r="C310" s="62"/>
      <c r="D310" s="63"/>
      <c r="E310" s="61" t="s">
        <v>983</v>
      </c>
      <c r="F310" s="64"/>
      <c r="G310" s="61" t="s">
        <v>984</v>
      </c>
      <c r="H310" s="7" t="s">
        <v>985</v>
      </c>
      <c r="I310" s="7"/>
      <c r="J310" s="7"/>
      <c r="K310" s="7"/>
      <c r="L310" s="33"/>
      <c r="M310" s="60"/>
    </row>
    <row r="311" spans="1:13" x14ac:dyDescent="0.2">
      <c r="A311" s="61" t="s">
        <v>945</v>
      </c>
      <c r="B311" s="61" t="s">
        <v>945</v>
      </c>
      <c r="C311" s="62"/>
      <c r="D311" s="63"/>
      <c r="E311" s="61" t="s">
        <v>986</v>
      </c>
      <c r="F311" s="64"/>
      <c r="G311" s="61" t="s">
        <v>987</v>
      </c>
      <c r="H311" s="7" t="s">
        <v>985</v>
      </c>
      <c r="I311" s="7"/>
      <c r="J311" s="7"/>
      <c r="K311" s="7"/>
      <c r="L311" s="33"/>
      <c r="M311" s="60"/>
    </row>
    <row r="312" spans="1:13" x14ac:dyDescent="0.2">
      <c r="A312" s="61" t="s">
        <v>945</v>
      </c>
      <c r="B312" s="61" t="s">
        <v>945</v>
      </c>
      <c r="C312" s="62"/>
      <c r="D312" s="63"/>
      <c r="E312" s="61" t="s">
        <v>988</v>
      </c>
      <c r="F312" s="64"/>
      <c r="G312" s="61" t="s">
        <v>989</v>
      </c>
      <c r="H312" s="7" t="s">
        <v>199</v>
      </c>
      <c r="I312" s="7"/>
      <c r="J312" s="7"/>
      <c r="K312" s="7"/>
      <c r="L312" s="33"/>
      <c r="M312" s="60"/>
    </row>
    <row r="313" spans="1:13" x14ac:dyDescent="0.2">
      <c r="A313" s="7" t="s">
        <v>990</v>
      </c>
      <c r="B313" s="7" t="s">
        <v>991</v>
      </c>
      <c r="C313" s="8"/>
      <c r="D313" s="33"/>
      <c r="E313" s="7" t="s">
        <v>992</v>
      </c>
      <c r="F313" s="10"/>
      <c r="G313" s="7" t="s">
        <v>993</v>
      </c>
      <c r="H313" s="7" t="s">
        <v>994</v>
      </c>
      <c r="I313" s="7"/>
      <c r="J313" s="7"/>
      <c r="K313" s="7"/>
      <c r="L313" s="33"/>
      <c r="M313" s="60"/>
    </row>
    <row r="314" spans="1:13" x14ac:dyDescent="0.2">
      <c r="A314" s="7" t="s">
        <v>990</v>
      </c>
      <c r="B314" s="7" t="s">
        <v>995</v>
      </c>
      <c r="C314" s="8"/>
      <c r="D314" s="33"/>
      <c r="E314" s="7" t="s">
        <v>996</v>
      </c>
      <c r="F314" s="10"/>
      <c r="G314" s="7" t="s">
        <v>997</v>
      </c>
      <c r="H314" s="7" t="s">
        <v>626</v>
      </c>
      <c r="I314" s="7"/>
      <c r="J314" s="7"/>
      <c r="K314" s="7"/>
      <c r="L314" s="33"/>
      <c r="M314" s="60"/>
    </row>
    <row r="315" spans="1:13" x14ac:dyDescent="0.2">
      <c r="A315" s="7" t="s">
        <v>990</v>
      </c>
      <c r="B315" s="7" t="s">
        <v>998</v>
      </c>
      <c r="C315" s="8"/>
      <c r="D315" s="33"/>
      <c r="E315" s="7" t="s">
        <v>999</v>
      </c>
      <c r="F315" s="10"/>
      <c r="G315" s="7" t="s">
        <v>1000</v>
      </c>
      <c r="H315" s="7" t="s">
        <v>626</v>
      </c>
      <c r="I315" s="7"/>
      <c r="J315" s="7"/>
      <c r="K315" s="7"/>
      <c r="L315" s="33"/>
      <c r="M315" s="60"/>
    </row>
    <row r="316" spans="1:13" x14ac:dyDescent="0.2">
      <c r="A316" s="7" t="s">
        <v>990</v>
      </c>
      <c r="B316" s="7" t="s">
        <v>998</v>
      </c>
      <c r="C316" s="8"/>
      <c r="D316" s="33"/>
      <c r="E316" s="7" t="s">
        <v>1001</v>
      </c>
      <c r="F316" s="10"/>
      <c r="G316" s="7" t="s">
        <v>1002</v>
      </c>
      <c r="H316" s="7" t="s">
        <v>626</v>
      </c>
      <c r="I316" s="7"/>
      <c r="J316" s="7"/>
      <c r="K316" s="7"/>
      <c r="L316" s="33"/>
      <c r="M316" s="60"/>
    </row>
    <row r="317" spans="1:13" x14ac:dyDescent="0.2">
      <c r="A317" s="7" t="s">
        <v>990</v>
      </c>
      <c r="B317" s="7" t="s">
        <v>1003</v>
      </c>
      <c r="C317" s="8"/>
      <c r="D317" s="33"/>
      <c r="E317" s="7" t="s">
        <v>1004</v>
      </c>
      <c r="F317" s="10"/>
      <c r="G317" s="7" t="s">
        <v>1005</v>
      </c>
      <c r="H317" s="7" t="s">
        <v>1006</v>
      </c>
      <c r="I317" s="7"/>
      <c r="J317" s="7"/>
      <c r="K317" s="7"/>
      <c r="L317" s="33"/>
      <c r="M317" s="60"/>
    </row>
    <row r="318" spans="1:13" x14ac:dyDescent="0.2">
      <c r="A318" s="51" t="s">
        <v>52</v>
      </c>
      <c r="B318" s="51" t="s">
        <v>1007</v>
      </c>
      <c r="C318" s="65"/>
      <c r="D318" s="51"/>
      <c r="E318" s="51" t="s">
        <v>1008</v>
      </c>
      <c r="F318" s="54"/>
      <c r="G318" s="51" t="s">
        <v>1009</v>
      </c>
      <c r="H318" s="51" t="s">
        <v>1010</v>
      </c>
      <c r="I318" s="51"/>
      <c r="J318" s="7"/>
      <c r="K318" s="51"/>
      <c r="L318" s="33"/>
      <c r="M318" s="60"/>
    </row>
    <row r="319" spans="1:13" x14ac:dyDescent="0.2">
      <c r="A319" s="51" t="s">
        <v>52</v>
      </c>
      <c r="B319" s="51" t="s">
        <v>1007</v>
      </c>
      <c r="C319" s="65"/>
      <c r="D319" s="51"/>
      <c r="E319" s="51" t="s">
        <v>1011</v>
      </c>
      <c r="F319" s="54"/>
      <c r="G319" s="51" t="s">
        <v>1012</v>
      </c>
      <c r="H319" s="51" t="s">
        <v>661</v>
      </c>
      <c r="I319" s="51"/>
      <c r="J319" s="7"/>
      <c r="K319" s="51"/>
      <c r="L319" s="33"/>
      <c r="M319" s="60"/>
    </row>
    <row r="320" spans="1:13" x14ac:dyDescent="0.2">
      <c r="A320" s="51" t="s">
        <v>52</v>
      </c>
      <c r="B320" s="51" t="s">
        <v>1007</v>
      </c>
      <c r="C320" s="65"/>
      <c r="D320" s="51"/>
      <c r="E320" s="51" t="s">
        <v>1013</v>
      </c>
      <c r="F320" s="54"/>
      <c r="G320" s="51" t="s">
        <v>1014</v>
      </c>
      <c r="H320" s="51" t="s">
        <v>661</v>
      </c>
      <c r="I320" s="51"/>
      <c r="J320" s="7"/>
      <c r="K320" s="51"/>
      <c r="L320" s="33"/>
      <c r="M320" s="60"/>
    </row>
    <row r="321" spans="1:13" x14ac:dyDescent="0.2">
      <c r="A321" s="51" t="s">
        <v>52</v>
      </c>
      <c r="B321" s="51" t="s">
        <v>1007</v>
      </c>
      <c r="C321" s="65"/>
      <c r="D321" s="51"/>
      <c r="E321" s="51" t="s">
        <v>1015</v>
      </c>
      <c r="F321" s="54"/>
      <c r="G321" s="51" t="s">
        <v>1016</v>
      </c>
      <c r="H321" s="51" t="s">
        <v>644</v>
      </c>
      <c r="I321" s="51"/>
      <c r="J321" s="7"/>
      <c r="K321" s="51"/>
      <c r="L321" s="33"/>
      <c r="M321" s="60"/>
    </row>
    <row r="322" spans="1:13" x14ac:dyDescent="0.2">
      <c r="A322" s="51" t="s">
        <v>52</v>
      </c>
      <c r="B322" s="51" t="s">
        <v>1007</v>
      </c>
      <c r="C322" s="65"/>
      <c r="D322" s="51"/>
      <c r="E322" s="51" t="s">
        <v>1017</v>
      </c>
      <c r="F322" s="54"/>
      <c r="G322" s="51" t="s">
        <v>1018</v>
      </c>
      <c r="H322" s="51" t="s">
        <v>652</v>
      </c>
      <c r="I322" s="51"/>
      <c r="J322" s="7"/>
      <c r="K322" s="51"/>
      <c r="L322" s="33"/>
      <c r="M322" s="60"/>
    </row>
    <row r="323" spans="1:13" x14ac:dyDescent="0.2">
      <c r="A323" s="51" t="s">
        <v>52</v>
      </c>
      <c r="B323" s="51" t="s">
        <v>1007</v>
      </c>
      <c r="C323" s="65"/>
      <c r="D323" s="51"/>
      <c r="E323" s="51" t="s">
        <v>1019</v>
      </c>
      <c r="F323" s="54"/>
      <c r="G323" s="51" t="s">
        <v>1020</v>
      </c>
      <c r="H323" s="51" t="s">
        <v>652</v>
      </c>
      <c r="I323" s="51"/>
      <c r="J323" s="7"/>
      <c r="K323" s="51"/>
      <c r="L323" s="33"/>
      <c r="M323" s="60"/>
    </row>
    <row r="324" spans="1:13" x14ac:dyDescent="0.2">
      <c r="A324" s="51" t="s">
        <v>52</v>
      </c>
      <c r="B324" s="51" t="s">
        <v>1007</v>
      </c>
      <c r="C324" s="65"/>
      <c r="D324" s="51"/>
      <c r="E324" s="51" t="s">
        <v>1021</v>
      </c>
      <c r="F324" s="54"/>
      <c r="G324" s="51" t="s">
        <v>1022</v>
      </c>
      <c r="H324" s="51" t="s">
        <v>661</v>
      </c>
      <c r="I324" s="51"/>
      <c r="J324" s="7"/>
      <c r="K324" s="51"/>
      <c r="L324" s="33"/>
      <c r="M324" s="60"/>
    </row>
    <row r="325" spans="1:13" x14ac:dyDescent="0.2">
      <c r="A325" s="51" t="s">
        <v>52</v>
      </c>
      <c r="B325" s="51" t="s">
        <v>1007</v>
      </c>
      <c r="C325" s="65"/>
      <c r="D325" s="51"/>
      <c r="E325" s="51" t="s">
        <v>1023</v>
      </c>
      <c r="F325" s="54"/>
      <c r="G325" s="51" t="s">
        <v>1024</v>
      </c>
      <c r="H325" s="51" t="s">
        <v>661</v>
      </c>
      <c r="I325" s="51"/>
      <c r="J325" s="7"/>
      <c r="K325" s="51"/>
      <c r="L325" s="33"/>
      <c r="M325" s="60"/>
    </row>
    <row r="326" spans="1:13" x14ac:dyDescent="0.2">
      <c r="A326" s="51" t="s">
        <v>52</v>
      </c>
      <c r="B326" s="51" t="s">
        <v>1007</v>
      </c>
      <c r="C326" s="65"/>
      <c r="D326" s="51"/>
      <c r="E326" s="51" t="s">
        <v>1025</v>
      </c>
      <c r="F326" s="54"/>
      <c r="G326" s="51" t="s">
        <v>1026</v>
      </c>
      <c r="H326" s="51" t="s">
        <v>644</v>
      </c>
      <c r="I326" s="51"/>
      <c r="J326" s="7"/>
      <c r="K326" s="51"/>
      <c r="L326" s="33"/>
      <c r="M326" s="60"/>
    </row>
    <row r="327" spans="1:13" x14ac:dyDescent="0.2">
      <c r="A327" s="66" t="s">
        <v>1027</v>
      </c>
      <c r="B327" s="66" t="s">
        <v>945</v>
      </c>
      <c r="C327" s="56"/>
      <c r="D327" s="67"/>
      <c r="E327" s="66" t="s">
        <v>1028</v>
      </c>
      <c r="F327" s="10"/>
      <c r="G327" s="66" t="s">
        <v>1029</v>
      </c>
      <c r="H327" s="66" t="s">
        <v>1030</v>
      </c>
      <c r="I327" s="66"/>
      <c r="J327" s="66"/>
      <c r="K327" s="66"/>
      <c r="L327" s="67"/>
      <c r="M327" s="68" t="s">
        <v>1031</v>
      </c>
    </row>
    <row r="328" spans="1:13" x14ac:dyDescent="0.2">
      <c r="A328" s="69" t="s">
        <v>1027</v>
      </c>
      <c r="B328" s="69" t="s">
        <v>945</v>
      </c>
      <c r="C328" s="70"/>
      <c r="D328" s="71"/>
      <c r="E328" s="69" t="s">
        <v>1032</v>
      </c>
      <c r="F328" s="10"/>
      <c r="G328" s="69" t="s">
        <v>1033</v>
      </c>
      <c r="H328" s="69"/>
      <c r="I328" s="69"/>
      <c r="J328" s="69"/>
      <c r="K328" s="69"/>
      <c r="L328" s="71"/>
      <c r="M328" s="72"/>
    </row>
    <row r="329" spans="1:13" x14ac:dyDescent="0.2">
      <c r="A329" s="7" t="s">
        <v>1027</v>
      </c>
      <c r="B329" s="7" t="s">
        <v>945</v>
      </c>
      <c r="C329" s="8"/>
      <c r="D329" s="33"/>
      <c r="E329" s="7" t="s">
        <v>1034</v>
      </c>
      <c r="F329" s="10"/>
      <c r="G329" s="7" t="s">
        <v>1035</v>
      </c>
      <c r="H329" s="7"/>
      <c r="I329" s="7"/>
      <c r="J329" s="7"/>
      <c r="K329" s="7"/>
      <c r="L329" s="33"/>
      <c r="M329" s="60" t="s">
        <v>525</v>
      </c>
    </row>
    <row r="330" spans="1:13" x14ac:dyDescent="0.2">
      <c r="A330" s="7" t="s">
        <v>1027</v>
      </c>
      <c r="B330" s="7" t="s">
        <v>945</v>
      </c>
      <c r="C330" s="8"/>
      <c r="D330" s="33"/>
      <c r="E330" s="7" t="s">
        <v>1036</v>
      </c>
      <c r="F330" s="10"/>
      <c r="G330" s="7" t="s">
        <v>1037</v>
      </c>
      <c r="H330" s="7"/>
      <c r="I330" s="7"/>
      <c r="J330" s="7"/>
      <c r="K330" s="7"/>
      <c r="L330" s="33"/>
      <c r="M330" s="60" t="s">
        <v>525</v>
      </c>
    </row>
    <row r="331" spans="1:13" x14ac:dyDescent="0.2">
      <c r="A331" s="7" t="s">
        <v>184</v>
      </c>
      <c r="B331" s="7" t="s">
        <v>641</v>
      </c>
      <c r="C331" s="73"/>
      <c r="D331" s="74"/>
      <c r="E331" s="75" t="s">
        <v>1038</v>
      </c>
      <c r="F331" s="10"/>
      <c r="G331" s="7" t="s">
        <v>1039</v>
      </c>
      <c r="H331" s="7" t="s">
        <v>1040</v>
      </c>
      <c r="I331" s="7"/>
      <c r="J331" s="7"/>
      <c r="K331" s="7"/>
      <c r="L331" s="33"/>
      <c r="M331" s="60"/>
    </row>
    <row r="332" spans="1:13" x14ac:dyDescent="0.2">
      <c r="A332" s="34" t="s">
        <v>184</v>
      </c>
      <c r="B332" s="34" t="s">
        <v>1041</v>
      </c>
      <c r="C332" s="76"/>
      <c r="D332" s="77"/>
      <c r="E332" s="78" t="s">
        <v>1042</v>
      </c>
      <c r="F332" s="10"/>
      <c r="G332" s="34" t="s">
        <v>1043</v>
      </c>
      <c r="H332" s="34" t="s">
        <v>1044</v>
      </c>
      <c r="I332" s="34"/>
      <c r="J332" s="7"/>
      <c r="K332" s="37"/>
      <c r="L332" s="33"/>
      <c r="M332" s="60"/>
    </row>
    <row r="333" spans="1:13" x14ac:dyDescent="0.2">
      <c r="A333" s="7" t="s">
        <v>184</v>
      </c>
      <c r="B333" s="7" t="s">
        <v>1041</v>
      </c>
      <c r="C333" s="8"/>
      <c r="D333" s="33"/>
      <c r="E333" s="7" t="s">
        <v>1045</v>
      </c>
      <c r="F333" s="79"/>
      <c r="G333" s="7" t="s">
        <v>1046</v>
      </c>
      <c r="H333" s="7"/>
      <c r="I333" s="7"/>
      <c r="J333" s="7"/>
      <c r="K333" s="7"/>
      <c r="L333" s="33"/>
      <c r="M333" s="60"/>
    </row>
    <row r="334" spans="1:13" x14ac:dyDescent="0.2">
      <c r="A334" s="7" t="s">
        <v>184</v>
      </c>
      <c r="B334" s="7" t="s">
        <v>1041</v>
      </c>
      <c r="C334" s="8"/>
      <c r="D334" s="33"/>
      <c r="E334" s="7" t="s">
        <v>1047</v>
      </c>
      <c r="F334" s="79"/>
      <c r="G334" s="7" t="s">
        <v>1048</v>
      </c>
      <c r="H334" s="7"/>
      <c r="I334" s="7"/>
      <c r="J334" s="7"/>
      <c r="K334" s="7"/>
      <c r="L334" s="33"/>
      <c r="M334" s="60"/>
    </row>
    <row r="335" spans="1:13" x14ac:dyDescent="0.2">
      <c r="A335" s="7" t="s">
        <v>184</v>
      </c>
      <c r="B335" s="7" t="s">
        <v>1041</v>
      </c>
      <c r="C335" s="8"/>
      <c r="D335" s="33"/>
      <c r="E335" s="7" t="s">
        <v>1049</v>
      </c>
      <c r="F335" s="79"/>
      <c r="G335" s="7" t="s">
        <v>1050</v>
      </c>
      <c r="H335" s="7"/>
      <c r="I335" s="7"/>
      <c r="J335" s="7"/>
      <c r="K335" s="7"/>
      <c r="L335" s="33"/>
      <c r="M335" s="60"/>
    </row>
    <row r="336" spans="1:13" x14ac:dyDescent="0.2">
      <c r="A336" s="7" t="s">
        <v>52</v>
      </c>
      <c r="B336" s="7" t="s">
        <v>1041</v>
      </c>
      <c r="C336" s="8"/>
      <c r="D336" s="33"/>
      <c r="E336" s="7" t="s">
        <v>1051</v>
      </c>
      <c r="F336" s="79"/>
      <c r="G336" s="7" t="s">
        <v>1052</v>
      </c>
      <c r="H336" s="7"/>
      <c r="I336" s="7"/>
      <c r="J336" s="7"/>
      <c r="K336" s="7"/>
      <c r="L336" s="33"/>
      <c r="M336" s="60"/>
    </row>
    <row r="337" spans="1:13" x14ac:dyDescent="0.2">
      <c r="A337" s="7" t="s">
        <v>52</v>
      </c>
      <c r="B337" s="7" t="s">
        <v>1041</v>
      </c>
      <c r="C337" s="8"/>
      <c r="D337" s="33"/>
      <c r="E337" s="7" t="s">
        <v>1053</v>
      </c>
      <c r="F337" s="79"/>
      <c r="G337" s="7" t="s">
        <v>1054</v>
      </c>
      <c r="H337" s="7"/>
      <c r="I337" s="7"/>
      <c r="J337" s="7"/>
      <c r="K337" s="7"/>
      <c r="L337" s="33"/>
      <c r="M337" s="60"/>
    </row>
    <row r="338" spans="1:13" x14ac:dyDescent="0.2">
      <c r="A338" s="80" t="s">
        <v>52</v>
      </c>
      <c r="B338" s="80" t="s">
        <v>1041</v>
      </c>
      <c r="C338" s="81"/>
      <c r="D338" s="82"/>
      <c r="E338" s="80" t="s">
        <v>1055</v>
      </c>
      <c r="F338" s="79"/>
      <c r="G338" s="80" t="s">
        <v>1056</v>
      </c>
      <c r="H338" s="80"/>
      <c r="I338" s="80"/>
      <c r="J338" s="7"/>
      <c r="K338" s="80"/>
      <c r="L338" s="82"/>
      <c r="M338" s="83"/>
    </row>
    <row r="339" spans="1:13" x14ac:dyDescent="0.2">
      <c r="A339" s="7" t="s">
        <v>52</v>
      </c>
      <c r="B339" s="7" t="s">
        <v>641</v>
      </c>
      <c r="C339" s="8"/>
      <c r="D339" s="33"/>
      <c r="E339" s="7" t="s">
        <v>1057</v>
      </c>
      <c r="F339" s="10"/>
      <c r="G339" s="7" t="s">
        <v>1058</v>
      </c>
      <c r="H339" s="7" t="s">
        <v>649</v>
      </c>
      <c r="I339" s="7"/>
      <c r="J339" s="7"/>
      <c r="K339" s="7"/>
      <c r="L339" s="33"/>
      <c r="M339" s="60"/>
    </row>
    <row r="340" spans="1:13" x14ac:dyDescent="0.2">
      <c r="A340" s="7" t="s">
        <v>52</v>
      </c>
      <c r="B340" s="7" t="s">
        <v>641</v>
      </c>
      <c r="C340" s="8"/>
      <c r="D340" s="33"/>
      <c r="E340" s="7" t="s">
        <v>1059</v>
      </c>
      <c r="F340" s="10"/>
      <c r="G340" s="7" t="s">
        <v>1060</v>
      </c>
      <c r="H340" s="7" t="s">
        <v>1061</v>
      </c>
      <c r="I340" s="7"/>
      <c r="J340" s="7"/>
      <c r="K340" s="7"/>
      <c r="L340" s="33"/>
      <c r="M340" s="60"/>
    </row>
    <row r="341" spans="1:13" x14ac:dyDescent="0.2">
      <c r="A341" s="7" t="s">
        <v>52</v>
      </c>
      <c r="B341" s="7" t="s">
        <v>12</v>
      </c>
      <c r="C341" s="8" t="s">
        <v>1062</v>
      </c>
      <c r="D341" s="84" t="s">
        <v>1063</v>
      </c>
      <c r="E341" s="7" t="s">
        <v>1064</v>
      </c>
      <c r="F341" s="10"/>
      <c r="G341" s="7" t="s">
        <v>1065</v>
      </c>
      <c r="H341" s="7">
        <v>200</v>
      </c>
      <c r="I341" s="7" t="s">
        <v>28</v>
      </c>
      <c r="J341" s="7"/>
      <c r="K341" s="7"/>
      <c r="L341" s="33"/>
      <c r="M341" s="60"/>
    </row>
    <row r="342" spans="1:13" x14ac:dyDescent="0.2">
      <c r="A342" s="7" t="s">
        <v>52</v>
      </c>
      <c r="B342" s="7" t="s">
        <v>641</v>
      </c>
      <c r="C342" s="8"/>
      <c r="D342" s="84"/>
      <c r="E342" s="7" t="s">
        <v>1066</v>
      </c>
      <c r="F342" s="10"/>
      <c r="G342" s="7" t="s">
        <v>1067</v>
      </c>
      <c r="H342" s="7" t="s">
        <v>1068</v>
      </c>
      <c r="I342" s="7"/>
      <c r="J342" s="7"/>
      <c r="K342" s="7"/>
      <c r="L342" s="33"/>
      <c r="M342" s="60"/>
    </row>
    <row r="343" spans="1:13" x14ac:dyDescent="0.2">
      <c r="A343" s="7" t="s">
        <v>52</v>
      </c>
      <c r="B343" s="7" t="s">
        <v>12</v>
      </c>
      <c r="C343" s="8" t="s">
        <v>1069</v>
      </c>
      <c r="D343" s="9"/>
      <c r="E343" s="7" t="s">
        <v>1070</v>
      </c>
      <c r="F343" s="10"/>
      <c r="G343" s="85" t="s">
        <v>1071</v>
      </c>
      <c r="H343" s="7">
        <v>200</v>
      </c>
      <c r="I343" s="7" t="s">
        <v>28</v>
      </c>
      <c r="J343" s="7"/>
      <c r="K343" s="7"/>
      <c r="L343" s="86">
        <v>800</v>
      </c>
      <c r="M343" s="87"/>
    </row>
    <row r="344" spans="1:13" x14ac:dyDescent="0.2">
      <c r="A344" s="7" t="s">
        <v>52</v>
      </c>
      <c r="B344" s="7" t="s">
        <v>641</v>
      </c>
      <c r="C344" s="8"/>
      <c r="D344" s="9"/>
      <c r="E344" s="7" t="s">
        <v>1072</v>
      </c>
      <c r="F344" s="10"/>
      <c r="G344" s="85" t="s">
        <v>1073</v>
      </c>
      <c r="H344" s="7" t="s">
        <v>1068</v>
      </c>
      <c r="I344" s="7"/>
      <c r="J344" s="7"/>
      <c r="K344" s="7"/>
      <c r="L344" s="33"/>
      <c r="M344" s="60"/>
    </row>
    <row r="345" spans="1:13" x14ac:dyDescent="0.2">
      <c r="A345" s="7" t="s">
        <v>52</v>
      </c>
      <c r="B345" s="7" t="s">
        <v>1041</v>
      </c>
      <c r="C345" s="8"/>
      <c r="D345" s="9"/>
      <c r="E345" s="7" t="s">
        <v>1074</v>
      </c>
      <c r="F345" s="10"/>
      <c r="G345" s="85" t="s">
        <v>1075</v>
      </c>
      <c r="H345" s="7" t="s">
        <v>1076</v>
      </c>
      <c r="I345" s="7"/>
      <c r="J345" s="7"/>
      <c r="K345" s="7"/>
      <c r="L345" s="33"/>
      <c r="M345" s="60"/>
    </row>
    <row r="346" spans="1:13" x14ac:dyDescent="0.2">
      <c r="A346" s="7" t="s">
        <v>184</v>
      </c>
      <c r="B346" s="7" t="s">
        <v>12</v>
      </c>
      <c r="C346" s="8" t="s">
        <v>1077</v>
      </c>
      <c r="D346" s="9" t="s">
        <v>1078</v>
      </c>
      <c r="E346" s="7" t="s">
        <v>1079</v>
      </c>
      <c r="F346" s="10"/>
      <c r="G346" s="88" t="s">
        <v>1080</v>
      </c>
      <c r="H346" s="7">
        <v>400</v>
      </c>
      <c r="I346" s="7" t="s">
        <v>61</v>
      </c>
      <c r="J346" s="7"/>
      <c r="K346" s="7"/>
      <c r="L346" s="86">
        <v>100</v>
      </c>
      <c r="M346" s="87"/>
    </row>
    <row r="347" spans="1:13" x14ac:dyDescent="0.2">
      <c r="A347" s="7" t="s">
        <v>184</v>
      </c>
      <c r="B347" s="7" t="s">
        <v>12</v>
      </c>
      <c r="C347" s="8" t="s">
        <v>1081</v>
      </c>
      <c r="D347" s="9" t="s">
        <v>1082</v>
      </c>
      <c r="E347" s="7" t="s">
        <v>1083</v>
      </c>
      <c r="F347" s="10"/>
      <c r="G347" s="88" t="s">
        <v>1084</v>
      </c>
      <c r="H347" s="7">
        <v>400</v>
      </c>
      <c r="I347" s="7" t="s">
        <v>61</v>
      </c>
      <c r="J347" s="7"/>
      <c r="K347" s="7"/>
      <c r="L347" s="86">
        <v>200</v>
      </c>
      <c r="M347" s="87"/>
    </row>
    <row r="348" spans="1:13" x14ac:dyDescent="0.2">
      <c r="A348" s="89"/>
      <c r="B348" s="89"/>
      <c r="C348" s="90"/>
      <c r="D348" s="91"/>
      <c r="E348" s="89"/>
      <c r="F348" s="89"/>
      <c r="G348" s="92"/>
      <c r="H348" s="89"/>
      <c r="I348" s="89"/>
      <c r="J348" s="89"/>
      <c r="K348" s="89"/>
      <c r="L348" s="90"/>
      <c r="M348" s="93"/>
    </row>
    <row r="349" spans="1:13" hidden="1" x14ac:dyDescent="0.2">
      <c r="A349" s="7"/>
      <c r="B349" s="7"/>
      <c r="C349" s="8"/>
      <c r="D349" s="33"/>
      <c r="E349" s="7"/>
      <c r="F349" s="7"/>
      <c r="G349" s="7" t="s">
        <v>1085</v>
      </c>
      <c r="H349" s="7"/>
      <c r="I349" s="7"/>
      <c r="J349" s="7"/>
      <c r="K349" s="7"/>
      <c r="L349" s="86"/>
      <c r="M349" s="87"/>
    </row>
    <row r="350" spans="1:13" hidden="1" x14ac:dyDescent="0.2">
      <c r="A350" s="7"/>
      <c r="B350" s="7"/>
      <c r="C350" s="8"/>
      <c r="D350" s="33"/>
      <c r="E350" s="7"/>
      <c r="F350" s="7"/>
      <c r="G350" s="7" t="s">
        <v>1086</v>
      </c>
      <c r="H350" s="7"/>
      <c r="I350" s="7"/>
      <c r="J350" s="7"/>
      <c r="K350" s="7"/>
      <c r="L350" s="86"/>
      <c r="M350" s="87"/>
    </row>
  </sheetData>
  <autoFilter ref="A1:N1" xr:uid="{00000000-0009-0000-0000-000000000000}"/>
  <mergeCells count="16">
    <mergeCell ref="C141:C142"/>
    <mergeCell ref="C92:C93"/>
    <mergeCell ref="C96:C97"/>
    <mergeCell ref="C103:C104"/>
    <mergeCell ref="C111:C112"/>
    <mergeCell ref="C119:C120"/>
    <mergeCell ref="C45:C46"/>
    <mergeCell ref="C47:C48"/>
    <mergeCell ref="C51:C52"/>
    <mergeCell ref="C82:C83"/>
    <mergeCell ref="C90:C91"/>
    <mergeCell ref="C5:C6"/>
    <mergeCell ref="C17:C18"/>
    <mergeCell ref="C24:C25"/>
    <mergeCell ref="C31:C32"/>
    <mergeCell ref="C38:C39"/>
  </mergeCells>
  <conditionalFormatting sqref="M6:M12 M2 M14:M17 M19:M24 M26:M31 M33:M38 M40:M47 M49:M51 M53:M65 M67:M69 M84:M90 M92 M94:M96 M98:M103 M105:M111 M114:M119 M121:M129 M143 M71:M77 M79 M81:M82 M131:M141 M145:M147 M4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{E9C9D4C0-4316-41DB-AEA0-FB1538256F42}</x14:id>
        </ext>
      </extLst>
    </cfRule>
  </conditionalFormatting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9C9D4C0-4316-41DB-AEA0-FB1538256F42}">
            <x14:dataBar>
              <x14:cfvo type="autoMin"/>
              <x14:cfvo type="autoMax"/>
              <x14:negativeFillColor rgb="FFFF0000"/>
              <x14:axisColor rgb="FF000000"/>
            </x14:dataBar>
          </x14:cfRule>
          <xm:sqref>M6:M12 M2 M14:M17 M19:M24 M26:M31 M33:M38 M40:M47 M49:M51 M53:M65 M67:M69 M84:M90 M92 M94:M96 M98:M103 M105:M111 M114:M119 M121:M129 M143 M71:M77 M79 M81:M82 M131:M141 M145:M147 M4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48"/>
  <sheetViews>
    <sheetView topLeftCell="A109" zoomScaleNormal="100" workbookViewId="0">
      <selection activeCell="E141" sqref="E141"/>
    </sheetView>
  </sheetViews>
  <sheetFormatPr defaultColWidth="8.7421875" defaultRowHeight="15" x14ac:dyDescent="0.2"/>
  <cols>
    <col min="1" max="1" width="14.125" customWidth="1"/>
    <col min="2" max="2" width="8.609375" customWidth="1"/>
    <col min="3" max="3" width="7.6640625" customWidth="1"/>
    <col min="4" max="4" width="6.859375" hidden="1" customWidth="1"/>
    <col min="5" max="5" width="10.35546875" customWidth="1"/>
  </cols>
  <sheetData>
    <row r="1" spans="1:5" x14ac:dyDescent="0.2">
      <c r="A1" s="94" t="s">
        <v>1087</v>
      </c>
      <c r="B1" s="95" t="s">
        <v>1088</v>
      </c>
    </row>
    <row r="3" spans="1:5" x14ac:dyDescent="0.2">
      <c r="A3" s="96" t="s">
        <v>1089</v>
      </c>
      <c r="B3" s="97" t="s">
        <v>1090</v>
      </c>
      <c r="C3" s="98"/>
      <c r="D3" s="98"/>
      <c r="E3" s="99"/>
    </row>
    <row r="4" spans="1:5" x14ac:dyDescent="0.2">
      <c r="A4" s="100" t="s">
        <v>1091</v>
      </c>
      <c r="B4" s="101" t="s">
        <v>1092</v>
      </c>
      <c r="C4" s="101" t="s">
        <v>1093</v>
      </c>
      <c r="D4" s="101" t="s">
        <v>1094</v>
      </c>
      <c r="E4" s="102" t="s">
        <v>1095</v>
      </c>
    </row>
    <row r="5" spans="1:5" x14ac:dyDescent="0.2">
      <c r="A5" s="103" t="s">
        <v>49</v>
      </c>
      <c r="B5" s="104">
        <v>102</v>
      </c>
      <c r="C5" s="104"/>
      <c r="D5" s="104"/>
      <c r="E5" s="105">
        <v>102</v>
      </c>
    </row>
    <row r="6" spans="1:5" x14ac:dyDescent="0.2">
      <c r="A6" s="103" t="s">
        <v>45</v>
      </c>
      <c r="B6" s="104">
        <v>118.666666666667</v>
      </c>
      <c r="C6" s="104"/>
      <c r="D6" s="104"/>
      <c r="E6" s="105">
        <v>118.666666666667</v>
      </c>
    </row>
    <row r="7" spans="1:5" x14ac:dyDescent="0.2">
      <c r="A7" s="103" t="s">
        <v>531</v>
      </c>
      <c r="B7" s="104">
        <v>15328</v>
      </c>
      <c r="C7" s="104"/>
      <c r="D7" s="104"/>
      <c r="E7" s="105">
        <v>15328</v>
      </c>
    </row>
    <row r="8" spans="1:5" x14ac:dyDescent="0.2">
      <c r="A8" s="103" t="s">
        <v>527</v>
      </c>
      <c r="B8" s="104">
        <v>14228.333333333299</v>
      </c>
      <c r="C8" s="104"/>
      <c r="D8" s="104"/>
      <c r="E8" s="105">
        <v>14228.333333333299</v>
      </c>
    </row>
    <row r="9" spans="1:5" x14ac:dyDescent="0.2">
      <c r="A9" s="103" t="s">
        <v>54</v>
      </c>
      <c r="B9" s="104"/>
      <c r="C9" s="104">
        <v>392</v>
      </c>
      <c r="D9" s="104"/>
      <c r="E9" s="105">
        <v>392</v>
      </c>
    </row>
    <row r="10" spans="1:5" x14ac:dyDescent="0.2">
      <c r="A10" s="103" t="s">
        <v>32</v>
      </c>
      <c r="B10" s="104">
        <v>1439</v>
      </c>
      <c r="C10" s="104"/>
      <c r="D10" s="104"/>
      <c r="E10" s="105">
        <v>1439</v>
      </c>
    </row>
    <row r="11" spans="1:5" x14ac:dyDescent="0.2">
      <c r="A11" s="103" t="s">
        <v>294</v>
      </c>
      <c r="B11" s="104">
        <v>3508</v>
      </c>
      <c r="C11" s="104"/>
      <c r="D11" s="104"/>
      <c r="E11" s="105">
        <v>3508</v>
      </c>
    </row>
    <row r="12" spans="1:5" x14ac:dyDescent="0.2">
      <c r="A12" s="103" t="s">
        <v>73</v>
      </c>
      <c r="B12" s="104">
        <v>302</v>
      </c>
      <c r="C12" s="104"/>
      <c r="D12" s="104"/>
      <c r="E12" s="105">
        <v>302</v>
      </c>
    </row>
    <row r="13" spans="1:5" x14ac:dyDescent="0.2">
      <c r="A13" s="103" t="s">
        <v>58</v>
      </c>
      <c r="B13" s="104">
        <v>341.66666666666703</v>
      </c>
      <c r="C13" s="104"/>
      <c r="D13" s="104"/>
      <c r="E13" s="105">
        <v>341.66666666666703</v>
      </c>
    </row>
    <row r="14" spans="1:5" x14ac:dyDescent="0.2">
      <c r="A14" s="103" t="s">
        <v>64</v>
      </c>
      <c r="B14" s="104">
        <v>1310.3333333333301</v>
      </c>
      <c r="C14" s="104"/>
      <c r="D14" s="104"/>
      <c r="E14" s="105">
        <v>1310.3333333333301</v>
      </c>
    </row>
    <row r="15" spans="1:5" x14ac:dyDescent="0.2">
      <c r="A15" s="103" t="s">
        <v>1096</v>
      </c>
      <c r="B15" s="104">
        <v>203.333333333333</v>
      </c>
      <c r="C15" s="104"/>
      <c r="D15" s="104"/>
      <c r="E15" s="105">
        <v>203.333333333333</v>
      </c>
    </row>
    <row r="16" spans="1:5" x14ac:dyDescent="0.2">
      <c r="A16" s="103" t="s">
        <v>343</v>
      </c>
      <c r="B16" s="104"/>
      <c r="C16" s="104">
        <v>515</v>
      </c>
      <c r="D16" s="104"/>
      <c r="E16" s="105">
        <v>515</v>
      </c>
    </row>
    <row r="17" spans="1:5" x14ac:dyDescent="0.2">
      <c r="A17" s="103" t="s">
        <v>347</v>
      </c>
      <c r="B17" s="104"/>
      <c r="C17" s="104">
        <v>417.66666666666703</v>
      </c>
      <c r="D17" s="104"/>
      <c r="E17" s="105">
        <v>417.66666666666703</v>
      </c>
    </row>
    <row r="18" spans="1:5" x14ac:dyDescent="0.2">
      <c r="A18" s="103" t="s">
        <v>351</v>
      </c>
      <c r="B18" s="104"/>
      <c r="C18" s="104">
        <v>416.33333333333297</v>
      </c>
      <c r="D18" s="104"/>
      <c r="E18" s="105">
        <v>416.33333333333297</v>
      </c>
    </row>
    <row r="19" spans="1:5" x14ac:dyDescent="0.2">
      <c r="A19" s="103" t="s">
        <v>358</v>
      </c>
      <c r="B19" s="104"/>
      <c r="C19" s="104">
        <v>1334.3333333333301</v>
      </c>
      <c r="D19" s="104"/>
      <c r="E19" s="105">
        <v>1334.3333333333301</v>
      </c>
    </row>
    <row r="20" spans="1:5" x14ac:dyDescent="0.2">
      <c r="A20" s="103" t="s">
        <v>77</v>
      </c>
      <c r="B20" s="104"/>
      <c r="C20" s="104">
        <v>1598.3333333333301</v>
      </c>
      <c r="D20" s="104"/>
      <c r="E20" s="105">
        <v>1598.3333333333301</v>
      </c>
    </row>
    <row r="21" spans="1:5" x14ac:dyDescent="0.2">
      <c r="A21" s="103" t="s">
        <v>84</v>
      </c>
      <c r="B21" s="104"/>
      <c r="C21" s="104">
        <v>767.33333333333303</v>
      </c>
      <c r="D21" s="104"/>
      <c r="E21" s="105">
        <v>767.33333333333303</v>
      </c>
    </row>
    <row r="22" spans="1:5" x14ac:dyDescent="0.2">
      <c r="A22" s="103" t="s">
        <v>88</v>
      </c>
      <c r="B22" s="104"/>
      <c r="C22" s="104">
        <v>730.33333333333303</v>
      </c>
      <c r="D22" s="104"/>
      <c r="E22" s="105">
        <v>730.33333333333303</v>
      </c>
    </row>
    <row r="23" spans="1:5" x14ac:dyDescent="0.2">
      <c r="A23" s="103" t="s">
        <v>92</v>
      </c>
      <c r="B23" s="104">
        <v>130.666666666667</v>
      </c>
      <c r="C23" s="104"/>
      <c r="D23" s="104"/>
      <c r="E23" s="105">
        <v>130.666666666667</v>
      </c>
    </row>
    <row r="24" spans="1:5" x14ac:dyDescent="0.2">
      <c r="A24" s="103" t="s">
        <v>97</v>
      </c>
      <c r="B24" s="104">
        <v>196.666666666667</v>
      </c>
      <c r="C24" s="104"/>
      <c r="D24" s="104"/>
      <c r="E24" s="105">
        <v>196.666666666667</v>
      </c>
    </row>
    <row r="25" spans="1:5" x14ac:dyDescent="0.2">
      <c r="A25" s="103" t="s">
        <v>511</v>
      </c>
      <c r="B25" s="104">
        <v>170.666666666667</v>
      </c>
      <c r="C25" s="104"/>
      <c r="D25" s="104"/>
      <c r="E25" s="105">
        <v>170.666666666667</v>
      </c>
    </row>
    <row r="26" spans="1:5" x14ac:dyDescent="0.2">
      <c r="A26" s="103" t="s">
        <v>121</v>
      </c>
      <c r="B26" s="104">
        <v>290.33333333333297</v>
      </c>
      <c r="C26" s="104"/>
      <c r="D26" s="104"/>
      <c r="E26" s="105">
        <v>290.33333333333297</v>
      </c>
    </row>
    <row r="27" spans="1:5" x14ac:dyDescent="0.2">
      <c r="A27" s="103" t="s">
        <v>1082</v>
      </c>
      <c r="B27" s="104">
        <v>98.3333333333333</v>
      </c>
      <c r="C27" s="104"/>
      <c r="D27" s="104"/>
      <c r="E27" s="105">
        <v>98.3333333333333</v>
      </c>
    </row>
    <row r="28" spans="1:5" x14ac:dyDescent="0.2">
      <c r="A28" s="103" t="s">
        <v>112</v>
      </c>
      <c r="B28" s="104">
        <v>420</v>
      </c>
      <c r="C28" s="104"/>
      <c r="D28" s="104"/>
      <c r="E28" s="105">
        <v>420</v>
      </c>
    </row>
    <row r="29" spans="1:5" x14ac:dyDescent="0.2">
      <c r="A29" s="103" t="s">
        <v>117</v>
      </c>
      <c r="B29" s="104"/>
      <c r="C29" s="104">
        <v>515.66666666666697</v>
      </c>
      <c r="D29" s="104"/>
      <c r="E29" s="105">
        <v>515.66666666666697</v>
      </c>
    </row>
    <row r="30" spans="1:5" x14ac:dyDescent="0.2">
      <c r="A30" s="103" t="s">
        <v>14</v>
      </c>
      <c r="B30" s="104">
        <v>159.666666666667</v>
      </c>
      <c r="C30" s="104"/>
      <c r="D30" s="104"/>
      <c r="E30" s="105">
        <v>159.666666666667</v>
      </c>
    </row>
    <row r="31" spans="1:5" x14ac:dyDescent="0.2">
      <c r="A31" s="103" t="s">
        <v>125</v>
      </c>
      <c r="B31" s="104">
        <v>9057.3333333333303</v>
      </c>
      <c r="C31" s="104"/>
      <c r="D31" s="104"/>
      <c r="E31" s="105">
        <v>9057.3333333333303</v>
      </c>
    </row>
    <row r="32" spans="1:5" x14ac:dyDescent="0.2">
      <c r="A32" s="103" t="s">
        <v>135</v>
      </c>
      <c r="B32" s="104"/>
      <c r="C32" s="104">
        <v>1566.6666666666699</v>
      </c>
      <c r="D32" s="104"/>
      <c r="E32" s="105">
        <v>1566.6666666666699</v>
      </c>
    </row>
    <row r="33" spans="1:5" x14ac:dyDescent="0.2">
      <c r="A33" s="103" t="s">
        <v>139</v>
      </c>
      <c r="B33" s="104">
        <v>210.666666666667</v>
      </c>
      <c r="C33" s="104"/>
      <c r="D33" s="104"/>
      <c r="E33" s="105">
        <v>210.666666666667</v>
      </c>
    </row>
    <row r="34" spans="1:5" x14ac:dyDescent="0.2">
      <c r="A34" s="103" t="s">
        <v>224</v>
      </c>
      <c r="B34" s="104">
        <v>236</v>
      </c>
      <c r="C34" s="104"/>
      <c r="D34" s="104"/>
      <c r="E34" s="105">
        <v>236</v>
      </c>
    </row>
    <row r="35" spans="1:5" x14ac:dyDescent="0.2">
      <c r="A35" s="103" t="s">
        <v>229</v>
      </c>
      <c r="B35" s="104">
        <v>239.666666666667</v>
      </c>
      <c r="C35" s="104"/>
      <c r="D35" s="104"/>
      <c r="E35" s="105">
        <v>239.666666666667</v>
      </c>
    </row>
    <row r="36" spans="1:5" x14ac:dyDescent="0.2">
      <c r="A36" s="103" t="s">
        <v>148</v>
      </c>
      <c r="B36" s="104"/>
      <c r="C36" s="104">
        <v>441.66666666666703</v>
      </c>
      <c r="D36" s="104"/>
      <c r="E36" s="105">
        <v>441.66666666666703</v>
      </c>
    </row>
    <row r="37" spans="1:5" x14ac:dyDescent="0.2">
      <c r="A37" s="103" t="s">
        <v>152</v>
      </c>
      <c r="B37" s="104"/>
      <c r="C37" s="104">
        <v>491.66666666666703</v>
      </c>
      <c r="D37" s="104"/>
      <c r="E37" s="105">
        <v>491.66666666666703</v>
      </c>
    </row>
    <row r="38" spans="1:5" x14ac:dyDescent="0.2">
      <c r="A38" s="103" t="s">
        <v>156</v>
      </c>
      <c r="B38" s="104"/>
      <c r="C38" s="104">
        <v>480.33333333333297</v>
      </c>
      <c r="D38" s="104"/>
      <c r="E38" s="105">
        <v>480.33333333333297</v>
      </c>
    </row>
    <row r="39" spans="1:5" x14ac:dyDescent="0.2">
      <c r="A39" s="103" t="s">
        <v>1097</v>
      </c>
      <c r="B39" s="104">
        <v>10161.666666666701</v>
      </c>
      <c r="C39" s="104"/>
      <c r="D39" s="104"/>
      <c r="E39" s="105">
        <v>10161.666666666701</v>
      </c>
    </row>
    <row r="40" spans="1:5" x14ac:dyDescent="0.2">
      <c r="A40" s="103" t="s">
        <v>1098</v>
      </c>
      <c r="B40" s="104">
        <v>279</v>
      </c>
      <c r="C40" s="104"/>
      <c r="D40" s="104"/>
      <c r="E40" s="105">
        <v>279</v>
      </c>
    </row>
    <row r="41" spans="1:5" x14ac:dyDescent="0.2">
      <c r="A41" s="103" t="s">
        <v>170</v>
      </c>
      <c r="B41" s="104">
        <v>166.666666666667</v>
      </c>
      <c r="C41" s="104"/>
      <c r="D41" s="104"/>
      <c r="E41" s="105">
        <v>166.666666666667</v>
      </c>
    </row>
    <row r="42" spans="1:5" x14ac:dyDescent="0.2">
      <c r="A42" s="103" t="s">
        <v>173</v>
      </c>
      <c r="B42" s="104"/>
      <c r="C42" s="104">
        <v>789.33333333333303</v>
      </c>
      <c r="D42" s="104"/>
      <c r="E42" s="105">
        <v>789.33333333333303</v>
      </c>
    </row>
    <row r="43" spans="1:5" x14ac:dyDescent="0.2">
      <c r="A43" s="103" t="s">
        <v>177</v>
      </c>
      <c r="B43" s="104">
        <v>133.333333333333</v>
      </c>
      <c r="C43" s="104"/>
      <c r="D43" s="104"/>
      <c r="E43" s="105">
        <v>133.333333333333</v>
      </c>
    </row>
    <row r="44" spans="1:5" x14ac:dyDescent="0.2">
      <c r="A44" s="103" t="s">
        <v>220</v>
      </c>
      <c r="B44" s="104">
        <v>2192</v>
      </c>
      <c r="C44" s="104"/>
      <c r="D44" s="104"/>
      <c r="E44" s="105">
        <v>2192</v>
      </c>
    </row>
    <row r="45" spans="1:5" x14ac:dyDescent="0.2">
      <c r="A45" s="103" t="s">
        <v>205</v>
      </c>
      <c r="B45" s="104">
        <v>8868.6666666666697</v>
      </c>
      <c r="C45" s="104"/>
      <c r="D45" s="104"/>
      <c r="E45" s="105">
        <v>8868.6666666666697</v>
      </c>
    </row>
    <row r="46" spans="1:5" x14ac:dyDescent="0.2">
      <c r="A46" s="103" t="s">
        <v>237</v>
      </c>
      <c r="B46" s="104">
        <v>5522.6666666666697</v>
      </c>
      <c r="C46" s="104"/>
      <c r="D46" s="104"/>
      <c r="E46" s="105">
        <v>5522.6666666666697</v>
      </c>
    </row>
    <row r="47" spans="1:5" x14ac:dyDescent="0.2">
      <c r="A47" s="103" t="s">
        <v>193</v>
      </c>
      <c r="B47" s="104"/>
      <c r="C47" s="104">
        <v>1431.3333333333301</v>
      </c>
      <c r="D47" s="104"/>
      <c r="E47" s="105">
        <v>1431.3333333333301</v>
      </c>
    </row>
    <row r="48" spans="1:5" x14ac:dyDescent="0.2">
      <c r="A48" s="103" t="s">
        <v>1099</v>
      </c>
      <c r="B48" s="104">
        <v>6913.3333333333303</v>
      </c>
      <c r="C48" s="104"/>
      <c r="D48" s="104"/>
      <c r="E48" s="105">
        <v>6913.3333333333303</v>
      </c>
    </row>
    <row r="49" spans="1:5" x14ac:dyDescent="0.2">
      <c r="A49" s="103" t="s">
        <v>1100</v>
      </c>
      <c r="B49" s="104">
        <v>924.66666666666697</v>
      </c>
      <c r="C49" s="104"/>
      <c r="D49" s="104"/>
      <c r="E49" s="105">
        <v>924.66666666666697</v>
      </c>
    </row>
    <row r="50" spans="1:5" x14ac:dyDescent="0.2">
      <c r="A50" s="103" t="s">
        <v>201</v>
      </c>
      <c r="B50" s="104">
        <v>804</v>
      </c>
      <c r="C50" s="104"/>
      <c r="D50" s="104"/>
      <c r="E50" s="105">
        <v>804</v>
      </c>
    </row>
    <row r="51" spans="1:5" x14ac:dyDescent="0.2">
      <c r="A51" s="103" t="s">
        <v>233</v>
      </c>
      <c r="B51" s="104"/>
      <c r="C51" s="104">
        <v>331</v>
      </c>
      <c r="D51" s="104"/>
      <c r="E51" s="105">
        <v>331</v>
      </c>
    </row>
    <row r="52" spans="1:5" x14ac:dyDescent="0.2">
      <c r="A52" s="103" t="s">
        <v>144</v>
      </c>
      <c r="B52" s="104"/>
      <c r="C52" s="104">
        <v>151.666666666667</v>
      </c>
      <c r="D52" s="104"/>
      <c r="E52" s="105">
        <v>151.666666666667</v>
      </c>
    </row>
    <row r="53" spans="1:5" x14ac:dyDescent="0.2">
      <c r="A53" s="103" t="s">
        <v>1101</v>
      </c>
      <c r="B53" s="104">
        <v>17885.666666666701</v>
      </c>
      <c r="C53" s="104"/>
      <c r="D53" s="104"/>
      <c r="E53" s="105">
        <v>17885.666666666701</v>
      </c>
    </row>
    <row r="54" spans="1:5" x14ac:dyDescent="0.2">
      <c r="A54" s="103" t="s">
        <v>1102</v>
      </c>
      <c r="B54" s="104">
        <v>2420</v>
      </c>
      <c r="C54" s="104"/>
      <c r="D54" s="104"/>
      <c r="E54" s="105">
        <v>2420</v>
      </c>
    </row>
    <row r="55" spans="1:5" x14ac:dyDescent="0.2">
      <c r="A55" s="103" t="s">
        <v>456</v>
      </c>
      <c r="B55" s="104">
        <v>9135.6666666666697</v>
      </c>
      <c r="C55" s="104"/>
      <c r="D55" s="104"/>
      <c r="E55" s="105">
        <v>9135.6666666666697</v>
      </c>
    </row>
    <row r="56" spans="1:5" x14ac:dyDescent="0.2">
      <c r="A56" s="103" t="s">
        <v>181</v>
      </c>
      <c r="B56" s="104"/>
      <c r="C56" s="104">
        <v>55</v>
      </c>
      <c r="D56" s="104"/>
      <c r="E56" s="105">
        <v>55</v>
      </c>
    </row>
    <row r="57" spans="1:5" x14ac:dyDescent="0.2">
      <c r="A57" s="103" t="s">
        <v>247</v>
      </c>
      <c r="B57" s="104"/>
      <c r="C57" s="104">
        <v>180.333333333333</v>
      </c>
      <c r="D57" s="104"/>
      <c r="E57" s="105">
        <v>180.333333333333</v>
      </c>
    </row>
    <row r="58" spans="1:5" x14ac:dyDescent="0.2">
      <c r="A58" s="103" t="s">
        <v>251</v>
      </c>
      <c r="B58" s="104">
        <v>710.33333333333303</v>
      </c>
      <c r="C58" s="104"/>
      <c r="D58" s="104"/>
      <c r="E58" s="105">
        <v>710.33333333333303</v>
      </c>
    </row>
    <row r="59" spans="1:5" x14ac:dyDescent="0.2">
      <c r="A59" s="103" t="s">
        <v>255</v>
      </c>
      <c r="B59" s="104">
        <v>116.333333333333</v>
      </c>
      <c r="C59" s="104"/>
      <c r="D59" s="104"/>
      <c r="E59" s="105">
        <v>116.333333333333</v>
      </c>
    </row>
    <row r="60" spans="1:5" x14ac:dyDescent="0.2">
      <c r="A60" s="103" t="s">
        <v>215</v>
      </c>
      <c r="B60" s="104">
        <v>3502.6666666666702</v>
      </c>
      <c r="C60" s="104"/>
      <c r="D60" s="104"/>
      <c r="E60" s="105">
        <v>3502.6666666666702</v>
      </c>
    </row>
    <row r="61" spans="1:5" x14ac:dyDescent="0.2">
      <c r="A61" s="103" t="s">
        <v>260</v>
      </c>
      <c r="B61" s="104">
        <v>101</v>
      </c>
      <c r="C61" s="104"/>
      <c r="D61" s="104"/>
      <c r="E61" s="105">
        <v>101</v>
      </c>
    </row>
    <row r="62" spans="1:5" x14ac:dyDescent="0.2">
      <c r="A62" s="103" t="s">
        <v>264</v>
      </c>
      <c r="B62" s="104"/>
      <c r="C62" s="104">
        <v>274.66666666666703</v>
      </c>
      <c r="D62" s="104"/>
      <c r="E62" s="105">
        <v>274.66666666666703</v>
      </c>
    </row>
    <row r="63" spans="1:5" x14ac:dyDescent="0.2">
      <c r="A63" s="103" t="s">
        <v>41</v>
      </c>
      <c r="B63" s="104">
        <v>239.333333333333</v>
      </c>
      <c r="C63" s="104"/>
      <c r="D63" s="104"/>
      <c r="E63" s="105">
        <v>239.333333333333</v>
      </c>
    </row>
    <row r="64" spans="1:5" x14ac:dyDescent="0.2">
      <c r="A64" s="103" t="s">
        <v>285</v>
      </c>
      <c r="B64" s="104"/>
      <c r="C64" s="104">
        <v>5479.3333333333303</v>
      </c>
      <c r="D64" s="104"/>
      <c r="E64" s="105">
        <v>5479.3333333333303</v>
      </c>
    </row>
    <row r="65" spans="1:5" x14ac:dyDescent="0.2">
      <c r="A65" s="103" t="s">
        <v>290</v>
      </c>
      <c r="B65" s="104"/>
      <c r="C65" s="104">
        <v>1912.3333333333301</v>
      </c>
      <c r="D65" s="104"/>
      <c r="E65" s="105">
        <v>1912.3333333333301</v>
      </c>
    </row>
    <row r="66" spans="1:5" x14ac:dyDescent="0.2">
      <c r="A66" s="103" t="s">
        <v>475</v>
      </c>
      <c r="B66" s="104"/>
      <c r="C66" s="104">
        <v>970.33333333333303</v>
      </c>
      <c r="D66" s="104"/>
      <c r="E66" s="105">
        <v>970.33333333333303</v>
      </c>
    </row>
    <row r="67" spans="1:5" x14ac:dyDescent="0.2">
      <c r="A67" s="103" t="s">
        <v>307</v>
      </c>
      <c r="B67" s="104"/>
      <c r="C67" s="104">
        <v>2954.6666666666702</v>
      </c>
      <c r="D67" s="104"/>
      <c r="E67" s="105">
        <v>2954.6666666666702</v>
      </c>
    </row>
    <row r="68" spans="1:5" x14ac:dyDescent="0.2">
      <c r="A68" s="103" t="s">
        <v>311</v>
      </c>
      <c r="B68" s="104"/>
      <c r="C68" s="104">
        <v>3742.6666666666702</v>
      </c>
      <c r="D68" s="104"/>
      <c r="E68" s="105">
        <v>3742.6666666666702</v>
      </c>
    </row>
    <row r="69" spans="1:5" x14ac:dyDescent="0.2">
      <c r="A69" s="103" t="s">
        <v>303</v>
      </c>
      <c r="B69" s="104"/>
      <c r="C69" s="104">
        <v>320.33333333333297</v>
      </c>
      <c r="D69" s="104"/>
      <c r="E69" s="105">
        <v>320.33333333333297</v>
      </c>
    </row>
    <row r="70" spans="1:5" x14ac:dyDescent="0.2">
      <c r="A70" s="103" t="s">
        <v>1103</v>
      </c>
      <c r="B70" s="104">
        <v>33</v>
      </c>
      <c r="C70" s="104"/>
      <c r="D70" s="104"/>
      <c r="E70" s="105">
        <v>33</v>
      </c>
    </row>
    <row r="71" spans="1:5" x14ac:dyDescent="0.2">
      <c r="A71" s="103" t="s">
        <v>1104</v>
      </c>
      <c r="B71" s="104">
        <v>33.3333333333333</v>
      </c>
      <c r="C71" s="104"/>
      <c r="D71" s="104"/>
      <c r="E71" s="105">
        <v>33.3333333333333</v>
      </c>
    </row>
    <row r="72" spans="1:5" x14ac:dyDescent="0.2">
      <c r="A72" s="103" t="s">
        <v>1105</v>
      </c>
      <c r="B72" s="104">
        <v>7.3333333333333304</v>
      </c>
      <c r="C72" s="104"/>
      <c r="D72" s="104"/>
      <c r="E72" s="105">
        <v>7.3333333333333304</v>
      </c>
    </row>
    <row r="73" spans="1:5" x14ac:dyDescent="0.2">
      <c r="A73" s="103" t="s">
        <v>1106</v>
      </c>
      <c r="B73" s="104">
        <v>1</v>
      </c>
      <c r="C73" s="104"/>
      <c r="D73" s="104"/>
      <c r="E73" s="105">
        <v>1</v>
      </c>
    </row>
    <row r="74" spans="1:5" x14ac:dyDescent="0.2">
      <c r="A74" s="103" t="s">
        <v>324</v>
      </c>
      <c r="B74" s="104">
        <v>8476.3333333333303</v>
      </c>
      <c r="C74" s="104"/>
      <c r="D74" s="104"/>
      <c r="E74" s="105">
        <v>8476.3333333333303</v>
      </c>
    </row>
    <row r="75" spans="1:5" x14ac:dyDescent="0.2">
      <c r="A75" s="103" t="s">
        <v>1107</v>
      </c>
      <c r="B75" s="104">
        <v>16384</v>
      </c>
      <c r="C75" s="104"/>
      <c r="D75" s="104"/>
      <c r="E75" s="105">
        <v>16384</v>
      </c>
    </row>
    <row r="76" spans="1:5" x14ac:dyDescent="0.2">
      <c r="A76" s="103" t="s">
        <v>1108</v>
      </c>
      <c r="B76" s="104">
        <v>230</v>
      </c>
      <c r="C76" s="104"/>
      <c r="D76" s="104"/>
      <c r="E76" s="105">
        <v>230</v>
      </c>
    </row>
    <row r="77" spans="1:5" x14ac:dyDescent="0.2">
      <c r="A77" s="103" t="s">
        <v>101</v>
      </c>
      <c r="B77" s="104">
        <v>149</v>
      </c>
      <c r="C77" s="104"/>
      <c r="D77" s="104"/>
      <c r="E77" s="105">
        <v>149</v>
      </c>
    </row>
    <row r="78" spans="1:5" x14ac:dyDescent="0.2">
      <c r="A78" s="103" t="s">
        <v>335</v>
      </c>
      <c r="B78" s="104"/>
      <c r="C78" s="104">
        <v>124.666666666667</v>
      </c>
      <c r="D78" s="104"/>
      <c r="E78" s="105">
        <v>124.666666666667</v>
      </c>
    </row>
    <row r="79" spans="1:5" x14ac:dyDescent="0.2">
      <c r="A79" s="103" t="s">
        <v>339</v>
      </c>
      <c r="B79" s="104"/>
      <c r="C79" s="104">
        <v>132.333333333333</v>
      </c>
      <c r="D79" s="104"/>
      <c r="E79" s="105">
        <v>132.333333333333</v>
      </c>
    </row>
    <row r="80" spans="1:5" x14ac:dyDescent="0.2">
      <c r="A80" s="103" t="s">
        <v>354</v>
      </c>
      <c r="B80" s="104"/>
      <c r="C80" s="104">
        <v>411.33333333333297</v>
      </c>
      <c r="D80" s="104"/>
      <c r="E80" s="105">
        <v>411.33333333333297</v>
      </c>
    </row>
    <row r="81" spans="1:5" x14ac:dyDescent="0.2">
      <c r="A81" s="103" t="s">
        <v>1109</v>
      </c>
      <c r="B81" s="104"/>
      <c r="C81" s="104">
        <v>320</v>
      </c>
      <c r="D81" s="104"/>
      <c r="E81" s="105">
        <v>320</v>
      </c>
    </row>
    <row r="82" spans="1:5" x14ac:dyDescent="0.2">
      <c r="A82" s="103" t="s">
        <v>363</v>
      </c>
      <c r="B82" s="104"/>
      <c r="C82" s="104">
        <v>1387.6666666666699</v>
      </c>
      <c r="D82" s="104"/>
      <c r="E82" s="105">
        <v>1387.6666666666699</v>
      </c>
    </row>
    <row r="83" spans="1:5" x14ac:dyDescent="0.2">
      <c r="A83" s="103" t="s">
        <v>370</v>
      </c>
      <c r="B83" s="104"/>
      <c r="C83" s="104">
        <v>141</v>
      </c>
      <c r="D83" s="104"/>
      <c r="E83" s="105">
        <v>141</v>
      </c>
    </row>
    <row r="84" spans="1:5" x14ac:dyDescent="0.2">
      <c r="A84" s="103" t="s">
        <v>1110</v>
      </c>
      <c r="B84" s="104">
        <v>25319</v>
      </c>
      <c r="C84" s="104"/>
      <c r="D84" s="104"/>
      <c r="E84" s="105">
        <v>25319</v>
      </c>
    </row>
    <row r="85" spans="1:5" x14ac:dyDescent="0.2">
      <c r="A85" s="103" t="s">
        <v>1111</v>
      </c>
      <c r="B85" s="104">
        <v>25345.666666666701</v>
      </c>
      <c r="C85" s="104"/>
      <c r="D85" s="104"/>
      <c r="E85" s="105">
        <v>25345.666666666701</v>
      </c>
    </row>
    <row r="86" spans="1:5" x14ac:dyDescent="0.2">
      <c r="A86" s="103" t="s">
        <v>374</v>
      </c>
      <c r="B86" s="104"/>
      <c r="C86" s="104">
        <v>1131</v>
      </c>
      <c r="D86" s="104"/>
      <c r="E86" s="105">
        <v>1131</v>
      </c>
    </row>
    <row r="87" spans="1:5" x14ac:dyDescent="0.2">
      <c r="A87" s="103" t="s">
        <v>1112</v>
      </c>
      <c r="B87" s="104">
        <v>25319</v>
      </c>
      <c r="C87" s="104"/>
      <c r="D87" s="104"/>
      <c r="E87" s="105">
        <v>25319</v>
      </c>
    </row>
    <row r="88" spans="1:5" x14ac:dyDescent="0.2">
      <c r="A88" s="103" t="s">
        <v>379</v>
      </c>
      <c r="B88" s="104">
        <v>506.66666666666703</v>
      </c>
      <c r="C88" s="104"/>
      <c r="D88" s="104"/>
      <c r="E88" s="105">
        <v>506.66666666666703</v>
      </c>
    </row>
    <row r="89" spans="1:5" x14ac:dyDescent="0.2">
      <c r="A89" s="103" t="s">
        <v>384</v>
      </c>
      <c r="B89" s="104">
        <v>339.66666666666703</v>
      </c>
      <c r="C89" s="104"/>
      <c r="D89" s="104"/>
      <c r="E89" s="105">
        <v>339.66666666666703</v>
      </c>
    </row>
    <row r="90" spans="1:5" x14ac:dyDescent="0.2">
      <c r="A90" s="103" t="s">
        <v>388</v>
      </c>
      <c r="B90" s="104">
        <v>357</v>
      </c>
      <c r="C90" s="104"/>
      <c r="D90" s="104"/>
      <c r="E90" s="105">
        <v>357</v>
      </c>
    </row>
    <row r="91" spans="1:5" x14ac:dyDescent="0.2">
      <c r="A91" s="103" t="s">
        <v>392</v>
      </c>
      <c r="B91" s="104">
        <v>347.33333333333297</v>
      </c>
      <c r="C91" s="104"/>
      <c r="D91" s="104"/>
      <c r="E91" s="105">
        <v>347.33333333333297</v>
      </c>
    </row>
    <row r="92" spans="1:5" x14ac:dyDescent="0.2">
      <c r="A92" s="103" t="s">
        <v>396</v>
      </c>
      <c r="B92" s="104"/>
      <c r="C92" s="104">
        <v>703.33333333333303</v>
      </c>
      <c r="D92" s="104"/>
      <c r="E92" s="105">
        <v>703.33333333333303</v>
      </c>
    </row>
    <row r="93" spans="1:5" x14ac:dyDescent="0.2">
      <c r="A93" s="103" t="s">
        <v>479</v>
      </c>
      <c r="B93" s="104"/>
      <c r="C93" s="104">
        <v>875.66666666666697</v>
      </c>
      <c r="D93" s="104"/>
      <c r="E93" s="105">
        <v>875.66666666666697</v>
      </c>
    </row>
    <row r="94" spans="1:5" x14ac:dyDescent="0.2">
      <c r="A94" s="103" t="s">
        <v>490</v>
      </c>
      <c r="B94" s="104">
        <v>4757</v>
      </c>
      <c r="C94" s="104"/>
      <c r="D94" s="104"/>
      <c r="E94" s="105">
        <v>4757</v>
      </c>
    </row>
    <row r="95" spans="1:5" x14ac:dyDescent="0.2">
      <c r="A95" s="103" t="s">
        <v>1113</v>
      </c>
      <c r="B95" s="104">
        <v>12308.666666666701</v>
      </c>
      <c r="C95" s="104"/>
      <c r="D95" s="104"/>
      <c r="E95" s="105">
        <v>12308.666666666701</v>
      </c>
    </row>
    <row r="96" spans="1:5" x14ac:dyDescent="0.2">
      <c r="A96" s="103" t="s">
        <v>1114</v>
      </c>
      <c r="B96" s="104">
        <v>929.66666666666697</v>
      </c>
      <c r="C96" s="104"/>
      <c r="D96" s="104"/>
      <c r="E96" s="105">
        <v>929.66666666666697</v>
      </c>
    </row>
    <row r="97" spans="1:5" x14ac:dyDescent="0.2">
      <c r="A97" s="103" t="s">
        <v>400</v>
      </c>
      <c r="B97" s="104">
        <v>6414.3333333333303</v>
      </c>
      <c r="C97" s="104"/>
      <c r="D97" s="104"/>
      <c r="E97" s="105">
        <v>6414.3333333333303</v>
      </c>
    </row>
    <row r="98" spans="1:5" x14ac:dyDescent="0.2">
      <c r="A98" s="103" t="s">
        <v>406</v>
      </c>
      <c r="B98" s="104"/>
      <c r="C98" s="104">
        <v>292.66666666666703</v>
      </c>
      <c r="D98" s="104"/>
      <c r="E98" s="105">
        <v>292.66666666666703</v>
      </c>
    </row>
    <row r="99" spans="1:5" x14ac:dyDescent="0.2">
      <c r="A99" s="103" t="s">
        <v>410</v>
      </c>
      <c r="B99" s="104">
        <v>4001.6666666666702</v>
      </c>
      <c r="C99" s="104"/>
      <c r="D99" s="104"/>
      <c r="E99" s="105">
        <v>4001.6666666666702</v>
      </c>
    </row>
    <row r="100" spans="1:5" x14ac:dyDescent="0.2">
      <c r="A100" s="103" t="s">
        <v>1115</v>
      </c>
      <c r="B100" s="104">
        <v>25319</v>
      </c>
      <c r="C100" s="104"/>
      <c r="D100" s="104"/>
      <c r="E100" s="105">
        <v>25319</v>
      </c>
    </row>
    <row r="101" spans="1:5" x14ac:dyDescent="0.2">
      <c r="A101" s="103" t="s">
        <v>415</v>
      </c>
      <c r="B101" s="104">
        <v>167.333333333333</v>
      </c>
      <c r="C101" s="104"/>
      <c r="D101" s="104"/>
      <c r="E101" s="105">
        <v>167.333333333333</v>
      </c>
    </row>
    <row r="102" spans="1:5" x14ac:dyDescent="0.2">
      <c r="A102" s="103" t="s">
        <v>1116</v>
      </c>
      <c r="B102" s="104">
        <v>2645.3333333333298</v>
      </c>
      <c r="C102" s="104"/>
      <c r="D102" s="104"/>
      <c r="E102" s="105">
        <v>2645.3333333333298</v>
      </c>
    </row>
    <row r="103" spans="1:5" x14ac:dyDescent="0.2">
      <c r="A103" s="103" t="s">
        <v>1117</v>
      </c>
      <c r="B103" s="104">
        <v>240</v>
      </c>
      <c r="C103" s="104"/>
      <c r="D103" s="104"/>
      <c r="E103" s="105">
        <v>240</v>
      </c>
    </row>
    <row r="104" spans="1:5" x14ac:dyDescent="0.2">
      <c r="A104" s="103" t="s">
        <v>424</v>
      </c>
      <c r="B104" s="104">
        <v>406.33333333333297</v>
      </c>
      <c r="C104" s="104"/>
      <c r="D104" s="104"/>
      <c r="E104" s="105">
        <v>406.33333333333297</v>
      </c>
    </row>
    <row r="105" spans="1:5" x14ac:dyDescent="0.2">
      <c r="A105" s="103" t="s">
        <v>36</v>
      </c>
      <c r="B105" s="104">
        <v>1541.6666666666699</v>
      </c>
      <c r="C105" s="104"/>
      <c r="D105" s="104"/>
      <c r="E105" s="105">
        <v>1541.6666666666699</v>
      </c>
    </row>
    <row r="106" spans="1:5" x14ac:dyDescent="0.2">
      <c r="A106" s="103" t="s">
        <v>428</v>
      </c>
      <c r="B106" s="104"/>
      <c r="C106" s="104">
        <v>19</v>
      </c>
      <c r="D106" s="104"/>
      <c r="E106" s="105">
        <v>19</v>
      </c>
    </row>
    <row r="107" spans="1:5" x14ac:dyDescent="0.2">
      <c r="A107" s="103" t="s">
        <v>432</v>
      </c>
      <c r="B107" s="104"/>
      <c r="C107" s="104">
        <v>732.33333333333303</v>
      </c>
      <c r="D107" s="104"/>
      <c r="E107" s="105">
        <v>732.33333333333303</v>
      </c>
    </row>
    <row r="108" spans="1:5" x14ac:dyDescent="0.2">
      <c r="A108" s="103" t="s">
        <v>1118</v>
      </c>
      <c r="B108" s="104">
        <v>12049</v>
      </c>
      <c r="C108" s="104"/>
      <c r="D108" s="104"/>
      <c r="E108" s="105">
        <v>12049</v>
      </c>
    </row>
    <row r="109" spans="1:5" x14ac:dyDescent="0.2">
      <c r="A109" s="103" t="s">
        <v>1119</v>
      </c>
      <c r="B109" s="104">
        <v>948.33333333333405</v>
      </c>
      <c r="C109" s="104"/>
      <c r="D109" s="104"/>
      <c r="E109" s="105">
        <v>948.33333333333405</v>
      </c>
    </row>
    <row r="110" spans="1:5" x14ac:dyDescent="0.2">
      <c r="A110" s="103" t="s">
        <v>440</v>
      </c>
      <c r="B110" s="104">
        <v>784.66666666666697</v>
      </c>
      <c r="C110" s="104"/>
      <c r="D110" s="104"/>
      <c r="E110" s="105">
        <v>784.66666666666697</v>
      </c>
    </row>
    <row r="111" spans="1:5" x14ac:dyDescent="0.2">
      <c r="A111" s="103" t="s">
        <v>69</v>
      </c>
      <c r="B111" s="104">
        <v>3134.6666666666702</v>
      </c>
      <c r="C111" s="104"/>
      <c r="D111" s="104"/>
      <c r="E111" s="105">
        <v>3134.6666666666702</v>
      </c>
    </row>
    <row r="112" spans="1:5" x14ac:dyDescent="0.2">
      <c r="A112" s="103" t="s">
        <v>444</v>
      </c>
      <c r="B112" s="104"/>
      <c r="C112" s="104">
        <v>1002</v>
      </c>
      <c r="D112" s="104"/>
      <c r="E112" s="105">
        <v>1002</v>
      </c>
    </row>
    <row r="113" spans="1:5" x14ac:dyDescent="0.2">
      <c r="A113" s="103" t="s">
        <v>278</v>
      </c>
      <c r="B113" s="104">
        <v>104.666666666667</v>
      </c>
      <c r="C113" s="104"/>
      <c r="D113" s="104"/>
      <c r="E113" s="105">
        <v>104.666666666667</v>
      </c>
    </row>
    <row r="114" spans="1:5" x14ac:dyDescent="0.2">
      <c r="A114" s="103" t="s">
        <v>274</v>
      </c>
      <c r="B114" s="104">
        <v>136.333333333333</v>
      </c>
      <c r="C114" s="104"/>
      <c r="D114" s="104"/>
      <c r="E114" s="105">
        <v>136.333333333333</v>
      </c>
    </row>
    <row r="115" spans="1:5" x14ac:dyDescent="0.2">
      <c r="A115" s="103" t="s">
        <v>1120</v>
      </c>
      <c r="B115" s="104">
        <v>1702.3333333333301</v>
      </c>
      <c r="C115" s="104"/>
      <c r="D115" s="104"/>
      <c r="E115" s="105">
        <v>1702.3333333333301</v>
      </c>
    </row>
    <row r="116" spans="1:5" x14ac:dyDescent="0.2">
      <c r="A116" s="103" t="s">
        <v>1121</v>
      </c>
      <c r="B116" s="104">
        <v>232</v>
      </c>
      <c r="C116" s="104"/>
      <c r="D116" s="104"/>
      <c r="E116" s="105">
        <v>232</v>
      </c>
    </row>
    <row r="117" spans="1:5" x14ac:dyDescent="0.2">
      <c r="A117" s="103" t="s">
        <v>448</v>
      </c>
      <c r="B117" s="104"/>
      <c r="C117" s="104">
        <v>183</v>
      </c>
      <c r="D117" s="104"/>
      <c r="E117" s="105">
        <v>183</v>
      </c>
    </row>
    <row r="118" spans="1:5" x14ac:dyDescent="0.2">
      <c r="A118" s="103" t="s">
        <v>452</v>
      </c>
      <c r="B118" s="104"/>
      <c r="C118" s="104">
        <v>423.66666666666703</v>
      </c>
      <c r="D118" s="104"/>
      <c r="E118" s="105">
        <v>423.66666666666703</v>
      </c>
    </row>
    <row r="119" spans="1:5" x14ac:dyDescent="0.2">
      <c r="A119" s="103" t="s">
        <v>269</v>
      </c>
      <c r="B119" s="104">
        <v>467.33333333333297</v>
      </c>
      <c r="C119" s="104"/>
      <c r="D119" s="104"/>
      <c r="E119" s="105">
        <v>467.33333333333297</v>
      </c>
    </row>
    <row r="120" spans="1:5" x14ac:dyDescent="0.2">
      <c r="A120" s="103" t="s">
        <v>486</v>
      </c>
      <c r="B120" s="104"/>
      <c r="C120" s="104">
        <v>151.666666666667</v>
      </c>
      <c r="D120" s="104"/>
      <c r="E120" s="105">
        <v>151.666666666667</v>
      </c>
    </row>
    <row r="121" spans="1:5" x14ac:dyDescent="0.2">
      <c r="A121" s="103" t="s">
        <v>499</v>
      </c>
      <c r="B121" s="104"/>
      <c r="C121" s="104">
        <v>14.3333333333333</v>
      </c>
      <c r="D121" s="104"/>
      <c r="E121" s="105">
        <v>14.3333333333333</v>
      </c>
    </row>
    <row r="122" spans="1:5" x14ac:dyDescent="0.2">
      <c r="A122" s="103" t="s">
        <v>495</v>
      </c>
      <c r="B122" s="104"/>
      <c r="C122" s="104">
        <v>642</v>
      </c>
      <c r="D122" s="104"/>
      <c r="E122" s="105">
        <v>642</v>
      </c>
    </row>
    <row r="123" spans="1:5" x14ac:dyDescent="0.2">
      <c r="A123" s="103" t="s">
        <v>507</v>
      </c>
      <c r="B123" s="104"/>
      <c r="C123" s="104">
        <v>163.333333333333</v>
      </c>
      <c r="D123" s="104"/>
      <c r="E123" s="105">
        <v>163.333333333333</v>
      </c>
    </row>
    <row r="124" spans="1:5" x14ac:dyDescent="0.2">
      <c r="A124" s="103" t="s">
        <v>130</v>
      </c>
      <c r="B124" s="104">
        <v>9183.3333333333303</v>
      </c>
      <c r="C124" s="104"/>
      <c r="D124" s="104"/>
      <c r="E124" s="105">
        <v>9183.3333333333303</v>
      </c>
    </row>
    <row r="125" spans="1:5" x14ac:dyDescent="0.2">
      <c r="A125" s="103" t="s">
        <v>519</v>
      </c>
      <c r="B125" s="104"/>
      <c r="C125" s="104">
        <v>410.66666666666703</v>
      </c>
      <c r="D125" s="104"/>
      <c r="E125" s="105">
        <v>410.66666666666703</v>
      </c>
    </row>
    <row r="126" spans="1:5" x14ac:dyDescent="0.2">
      <c r="A126" s="103" t="s">
        <v>1122</v>
      </c>
      <c r="B126" s="104"/>
      <c r="C126" s="104">
        <v>8</v>
      </c>
      <c r="D126" s="104"/>
      <c r="E126" s="105">
        <v>8</v>
      </c>
    </row>
    <row r="127" spans="1:5" x14ac:dyDescent="0.2">
      <c r="A127" s="103" t="s">
        <v>166</v>
      </c>
      <c r="B127" s="104">
        <v>776</v>
      </c>
      <c r="C127" s="104"/>
      <c r="D127" s="104"/>
      <c r="E127" s="105">
        <v>776</v>
      </c>
    </row>
    <row r="128" spans="1:5" x14ac:dyDescent="0.2">
      <c r="A128" s="103" t="s">
        <v>1123</v>
      </c>
      <c r="B128" s="104"/>
      <c r="C128" s="104">
        <v>17</v>
      </c>
      <c r="D128" s="104"/>
      <c r="E128" s="105">
        <v>17</v>
      </c>
    </row>
    <row r="129" spans="1:5" x14ac:dyDescent="0.2">
      <c r="A129" s="103" t="s">
        <v>1124</v>
      </c>
      <c r="B129" s="104"/>
      <c r="C129" s="104">
        <v>772.33333333333303</v>
      </c>
      <c r="D129" s="104"/>
      <c r="E129" s="105">
        <v>772.33333333333303</v>
      </c>
    </row>
    <row r="130" spans="1:5" x14ac:dyDescent="0.2">
      <c r="A130" s="103" t="s">
        <v>515</v>
      </c>
      <c r="B130" s="104">
        <v>100</v>
      </c>
      <c r="C130" s="104"/>
      <c r="D130" s="104"/>
      <c r="E130" s="105">
        <v>100</v>
      </c>
    </row>
    <row r="131" spans="1:5" x14ac:dyDescent="0.2">
      <c r="A131" s="103" t="s">
        <v>546</v>
      </c>
      <c r="B131" s="104"/>
      <c r="C131" s="104">
        <v>3267.6666666666702</v>
      </c>
      <c r="D131" s="104"/>
      <c r="E131" s="105">
        <v>3267.6666666666702</v>
      </c>
    </row>
    <row r="132" spans="1:5" x14ac:dyDescent="0.2">
      <c r="A132" s="103" t="s">
        <v>471</v>
      </c>
      <c r="B132" s="104"/>
      <c r="C132" s="104">
        <v>2875.3333333333298</v>
      </c>
      <c r="D132" s="104"/>
      <c r="E132" s="105">
        <v>2875.3333333333298</v>
      </c>
    </row>
    <row r="133" spans="1:5" x14ac:dyDescent="0.2">
      <c r="A133" s="103" t="s">
        <v>461</v>
      </c>
      <c r="B133" s="104">
        <v>11518</v>
      </c>
      <c r="C133" s="104"/>
      <c r="D133" s="104"/>
      <c r="E133" s="105">
        <v>11518</v>
      </c>
    </row>
    <row r="134" spans="1:5" x14ac:dyDescent="0.2">
      <c r="A134" s="103" t="s">
        <v>536</v>
      </c>
      <c r="B134" s="104">
        <v>1419.3333333333301</v>
      </c>
      <c r="C134" s="104"/>
      <c r="D134" s="104"/>
      <c r="E134" s="105">
        <v>1419.3333333333301</v>
      </c>
    </row>
    <row r="135" spans="1:5" x14ac:dyDescent="0.2">
      <c r="A135" s="103" t="s">
        <v>541</v>
      </c>
      <c r="B135" s="104">
        <v>8960.3333333333303</v>
      </c>
      <c r="C135" s="104"/>
      <c r="D135" s="104"/>
      <c r="E135" s="105">
        <v>8960.3333333333303</v>
      </c>
    </row>
    <row r="136" spans="1:5" x14ac:dyDescent="0.2">
      <c r="A136" s="103" t="s">
        <v>550</v>
      </c>
      <c r="B136" s="104"/>
      <c r="C136" s="104">
        <v>5621.6666666666697</v>
      </c>
      <c r="D136" s="104"/>
      <c r="E136" s="105">
        <v>5621.6666666666697</v>
      </c>
    </row>
    <row r="137" spans="1:5" x14ac:dyDescent="0.2">
      <c r="A137" s="103" t="s">
        <v>466</v>
      </c>
      <c r="B137" s="104">
        <v>351</v>
      </c>
      <c r="C137" s="104"/>
      <c r="D137" s="104"/>
      <c r="E137" s="105">
        <v>351</v>
      </c>
    </row>
    <row r="138" spans="1:5" x14ac:dyDescent="0.2">
      <c r="A138" s="103" t="s">
        <v>211</v>
      </c>
      <c r="B138" s="104">
        <v>8045</v>
      </c>
      <c r="C138" s="104"/>
      <c r="D138" s="104"/>
      <c r="E138" s="105">
        <v>8045</v>
      </c>
    </row>
    <row r="139" spans="1:5" x14ac:dyDescent="0.2">
      <c r="A139" s="103" t="s">
        <v>1125</v>
      </c>
      <c r="B139" s="104">
        <v>13279</v>
      </c>
      <c r="C139" s="104"/>
      <c r="D139" s="104"/>
      <c r="E139" s="105">
        <v>13279</v>
      </c>
    </row>
    <row r="140" spans="1:5" x14ac:dyDescent="0.2">
      <c r="A140" s="103" t="s">
        <v>1126</v>
      </c>
      <c r="B140" s="104">
        <v>448</v>
      </c>
      <c r="C140" s="104"/>
      <c r="D140" s="104"/>
      <c r="E140" s="105">
        <v>448</v>
      </c>
    </row>
    <row r="141" spans="1:5" x14ac:dyDescent="0.2">
      <c r="A141" s="103" t="s">
        <v>1127</v>
      </c>
      <c r="B141" s="104">
        <v>6156.3333333333303</v>
      </c>
      <c r="C141" s="104"/>
      <c r="D141" s="104"/>
      <c r="E141" s="105">
        <v>6156.3333333333303</v>
      </c>
    </row>
    <row r="142" spans="1:5" x14ac:dyDescent="0.2">
      <c r="A142" s="103" t="s">
        <v>1128</v>
      </c>
      <c r="B142" s="104">
        <v>244</v>
      </c>
      <c r="C142" s="104"/>
      <c r="D142" s="104"/>
      <c r="E142" s="105">
        <v>244</v>
      </c>
    </row>
    <row r="143" spans="1:5" x14ac:dyDescent="0.2">
      <c r="A143" s="103" t="s">
        <v>25</v>
      </c>
      <c r="B143" s="104">
        <v>169</v>
      </c>
      <c r="C143" s="104"/>
      <c r="D143" s="104"/>
      <c r="E143" s="105">
        <v>169</v>
      </c>
    </row>
    <row r="144" spans="1:5" x14ac:dyDescent="0.2">
      <c r="A144" s="103" t="s">
        <v>1078</v>
      </c>
      <c r="B144" s="104">
        <v>103.333333333333</v>
      </c>
      <c r="C144" s="104"/>
      <c r="D144" s="104"/>
      <c r="E144" s="105">
        <v>103.333333333333</v>
      </c>
    </row>
    <row r="145" spans="1:5" x14ac:dyDescent="0.2">
      <c r="A145" s="103" t="s">
        <v>565</v>
      </c>
      <c r="B145" s="104"/>
      <c r="C145" s="104">
        <v>4695.6666666666697</v>
      </c>
      <c r="D145" s="104"/>
      <c r="E145" s="105">
        <v>4695.6666666666697</v>
      </c>
    </row>
    <row r="146" spans="1:5" x14ac:dyDescent="0.2">
      <c r="A146" s="103" t="s">
        <v>561</v>
      </c>
      <c r="B146" s="104"/>
      <c r="C146" s="104">
        <v>1977.6666666666699</v>
      </c>
      <c r="D146" s="104"/>
      <c r="E146" s="105">
        <v>1977.6666666666699</v>
      </c>
    </row>
    <row r="147" spans="1:5" x14ac:dyDescent="0.2">
      <c r="A147" s="103" t="s">
        <v>1094</v>
      </c>
      <c r="B147" s="106"/>
      <c r="C147" s="106"/>
      <c r="D147" s="106"/>
      <c r="E147" s="107"/>
    </row>
    <row r="148" spans="1:5" x14ac:dyDescent="0.2">
      <c r="A148" s="108" t="s">
        <v>1095</v>
      </c>
      <c r="B148" s="109">
        <v>360059.66666666698</v>
      </c>
      <c r="C148" s="109">
        <v>56757.333333333299</v>
      </c>
      <c r="D148" s="109"/>
      <c r="E148" s="110">
        <v>416817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91"/>
  <sheetViews>
    <sheetView zoomScaleNormal="100" zoomScalePageLayoutView="60" workbookViewId="0"/>
  </sheetViews>
  <sheetFormatPr defaultColWidth="13.44921875" defaultRowHeight="15" x14ac:dyDescent="0.2"/>
  <sheetData>
    <row r="1" spans="1:13" x14ac:dyDescent="0.2">
      <c r="A1" t="s">
        <v>1129</v>
      </c>
      <c r="B1" t="s">
        <v>1090</v>
      </c>
      <c r="C1" t="s">
        <v>1091</v>
      </c>
      <c r="D1" t="s">
        <v>1087</v>
      </c>
      <c r="E1" t="s">
        <v>1130</v>
      </c>
      <c r="F1" t="s">
        <v>1131</v>
      </c>
      <c r="G1" t="s">
        <v>1132</v>
      </c>
      <c r="H1" t="s">
        <v>1133</v>
      </c>
      <c r="I1" t="s">
        <v>1134</v>
      </c>
      <c r="J1" t="s">
        <v>1135</v>
      </c>
      <c r="K1" t="s">
        <v>1136</v>
      </c>
      <c r="L1" t="s">
        <v>1137</v>
      </c>
      <c r="M1" t="s">
        <v>1138</v>
      </c>
    </row>
    <row r="2" spans="1:13" x14ac:dyDescent="0.2">
      <c r="A2" t="s">
        <v>1139</v>
      </c>
      <c r="B2" t="s">
        <v>1092</v>
      </c>
      <c r="C2" t="s">
        <v>49</v>
      </c>
      <c r="D2">
        <v>1912</v>
      </c>
      <c r="E2">
        <v>41</v>
      </c>
      <c r="F2">
        <v>40</v>
      </c>
      <c r="G2">
        <v>3</v>
      </c>
      <c r="H2">
        <v>2</v>
      </c>
      <c r="I2">
        <v>60</v>
      </c>
      <c r="J2">
        <v>205</v>
      </c>
      <c r="K2">
        <v>195</v>
      </c>
      <c r="L2">
        <v>306</v>
      </c>
      <c r="M2">
        <v>102</v>
      </c>
    </row>
    <row r="3" spans="1:13" x14ac:dyDescent="0.2">
      <c r="A3" t="s">
        <v>1139</v>
      </c>
      <c r="B3" t="s">
        <v>1092</v>
      </c>
      <c r="C3" t="s">
        <v>45</v>
      </c>
      <c r="D3">
        <v>1901</v>
      </c>
      <c r="E3">
        <v>120</v>
      </c>
      <c r="F3">
        <v>112</v>
      </c>
      <c r="G3">
        <v>5</v>
      </c>
      <c r="H3">
        <v>0</v>
      </c>
      <c r="I3">
        <v>36</v>
      </c>
      <c r="J3">
        <v>200</v>
      </c>
      <c r="K3">
        <v>190</v>
      </c>
      <c r="L3">
        <v>356</v>
      </c>
      <c r="M3">
        <v>118.666666666667</v>
      </c>
    </row>
    <row r="4" spans="1:13" x14ac:dyDescent="0.2">
      <c r="A4" t="s">
        <v>1139</v>
      </c>
      <c r="B4" t="s">
        <v>1092</v>
      </c>
      <c r="C4" t="s">
        <v>531</v>
      </c>
      <c r="D4">
        <v>1032</v>
      </c>
      <c r="E4">
        <v>16189</v>
      </c>
      <c r="F4">
        <v>13756</v>
      </c>
      <c r="G4">
        <v>1947</v>
      </c>
      <c r="H4">
        <v>22</v>
      </c>
      <c r="I4">
        <v>24</v>
      </c>
      <c r="J4">
        <v>422</v>
      </c>
      <c r="K4">
        <v>390</v>
      </c>
      <c r="L4">
        <v>16635</v>
      </c>
      <c r="M4">
        <v>5545</v>
      </c>
    </row>
    <row r="5" spans="1:13" x14ac:dyDescent="0.2">
      <c r="A5" t="s">
        <v>1139</v>
      </c>
      <c r="B5" t="s">
        <v>1092</v>
      </c>
      <c r="C5" t="s">
        <v>531</v>
      </c>
      <c r="D5">
        <v>1032</v>
      </c>
      <c r="E5">
        <v>11832</v>
      </c>
      <c r="F5">
        <v>11362</v>
      </c>
      <c r="G5">
        <v>386</v>
      </c>
      <c r="H5">
        <v>67</v>
      </c>
      <c r="I5">
        <v>15</v>
      </c>
      <c r="J5">
        <v>355</v>
      </c>
      <c r="K5">
        <v>337</v>
      </c>
      <c r="L5">
        <v>12202</v>
      </c>
      <c r="M5">
        <v>4067.3333333333298</v>
      </c>
    </row>
    <row r="6" spans="1:13" x14ac:dyDescent="0.2">
      <c r="A6" t="s">
        <v>1139</v>
      </c>
      <c r="B6" t="s">
        <v>1092</v>
      </c>
      <c r="C6" t="s">
        <v>531</v>
      </c>
      <c r="D6">
        <v>1032</v>
      </c>
      <c r="E6">
        <v>16759</v>
      </c>
      <c r="F6">
        <v>14861</v>
      </c>
      <c r="G6">
        <v>1412</v>
      </c>
      <c r="H6">
        <v>50</v>
      </c>
      <c r="I6">
        <v>15</v>
      </c>
      <c r="J6">
        <v>373</v>
      </c>
      <c r="K6">
        <v>361</v>
      </c>
      <c r="L6">
        <v>17147</v>
      </c>
      <c r="M6">
        <v>5715.6666666666697</v>
      </c>
    </row>
    <row r="7" spans="1:13" x14ac:dyDescent="0.2">
      <c r="A7" t="s">
        <v>1139</v>
      </c>
      <c r="B7" t="s">
        <v>1092</v>
      </c>
      <c r="C7" t="s">
        <v>527</v>
      </c>
      <c r="D7">
        <v>1046</v>
      </c>
      <c r="E7">
        <v>14698</v>
      </c>
      <c r="F7">
        <v>12646</v>
      </c>
      <c r="G7">
        <v>1620</v>
      </c>
      <c r="H7">
        <v>1</v>
      </c>
      <c r="I7">
        <v>15</v>
      </c>
      <c r="J7">
        <v>388</v>
      </c>
      <c r="K7">
        <v>357</v>
      </c>
      <c r="L7">
        <v>15101</v>
      </c>
      <c r="M7">
        <v>5033.6666666666697</v>
      </c>
    </row>
    <row r="8" spans="1:13" x14ac:dyDescent="0.2">
      <c r="A8" t="s">
        <v>1139</v>
      </c>
      <c r="B8" t="s">
        <v>1092</v>
      </c>
      <c r="C8" t="s">
        <v>527</v>
      </c>
      <c r="D8">
        <v>1046</v>
      </c>
      <c r="E8">
        <v>11492</v>
      </c>
      <c r="F8">
        <v>11020</v>
      </c>
      <c r="G8">
        <v>374</v>
      </c>
      <c r="H8">
        <v>8</v>
      </c>
      <c r="I8">
        <v>18</v>
      </c>
      <c r="J8">
        <v>344</v>
      </c>
      <c r="K8">
        <v>325</v>
      </c>
      <c r="L8">
        <v>11854</v>
      </c>
      <c r="M8">
        <v>3951.3333333333298</v>
      </c>
    </row>
    <row r="9" spans="1:13" x14ac:dyDescent="0.2">
      <c r="A9" t="s">
        <v>1139</v>
      </c>
      <c r="B9" t="s">
        <v>1092</v>
      </c>
      <c r="C9" t="s">
        <v>527</v>
      </c>
      <c r="D9">
        <v>1046</v>
      </c>
      <c r="E9">
        <v>15362</v>
      </c>
      <c r="F9">
        <v>13739</v>
      </c>
      <c r="G9">
        <v>1191</v>
      </c>
      <c r="H9">
        <v>10</v>
      </c>
      <c r="I9">
        <v>15</v>
      </c>
      <c r="J9">
        <v>353</v>
      </c>
      <c r="K9">
        <v>342</v>
      </c>
      <c r="L9">
        <v>15730</v>
      </c>
      <c r="M9">
        <v>5243.3333333333303</v>
      </c>
    </row>
    <row r="10" spans="1:13" x14ac:dyDescent="0.2">
      <c r="A10" t="s">
        <v>1140</v>
      </c>
      <c r="B10" t="s">
        <v>1093</v>
      </c>
      <c r="C10" t="s">
        <v>54</v>
      </c>
      <c r="D10">
        <v>10</v>
      </c>
      <c r="E10">
        <v>781</v>
      </c>
      <c r="F10">
        <v>686</v>
      </c>
      <c r="G10">
        <v>57</v>
      </c>
      <c r="H10">
        <v>5</v>
      </c>
      <c r="I10">
        <v>24</v>
      </c>
      <c r="J10">
        <v>371</v>
      </c>
      <c r="K10">
        <v>291</v>
      </c>
      <c r="L10">
        <v>1176</v>
      </c>
      <c r="M10">
        <v>392</v>
      </c>
    </row>
    <row r="11" spans="1:13" x14ac:dyDescent="0.2">
      <c r="A11" t="s">
        <v>1139</v>
      </c>
      <c r="B11" t="s">
        <v>1092</v>
      </c>
      <c r="C11" t="s">
        <v>32</v>
      </c>
      <c r="D11">
        <v>1400</v>
      </c>
      <c r="E11">
        <v>1130</v>
      </c>
      <c r="F11">
        <v>1001</v>
      </c>
      <c r="G11">
        <v>104</v>
      </c>
      <c r="H11">
        <v>0</v>
      </c>
      <c r="I11">
        <v>18</v>
      </c>
      <c r="J11">
        <v>221</v>
      </c>
      <c r="K11">
        <v>204</v>
      </c>
      <c r="L11">
        <v>1369</v>
      </c>
      <c r="M11">
        <v>456.33333333333297</v>
      </c>
    </row>
    <row r="12" spans="1:13" x14ac:dyDescent="0.2">
      <c r="A12" t="s">
        <v>1139</v>
      </c>
      <c r="B12" t="s">
        <v>1092</v>
      </c>
      <c r="C12" t="s">
        <v>32</v>
      </c>
      <c r="D12">
        <v>1400</v>
      </c>
      <c r="E12">
        <v>1375</v>
      </c>
      <c r="F12">
        <v>1314</v>
      </c>
      <c r="G12">
        <v>58</v>
      </c>
      <c r="H12">
        <v>0</v>
      </c>
      <c r="I12">
        <v>24</v>
      </c>
      <c r="J12">
        <v>182</v>
      </c>
      <c r="K12">
        <v>176</v>
      </c>
      <c r="L12">
        <v>1581</v>
      </c>
      <c r="M12">
        <v>527</v>
      </c>
    </row>
    <row r="13" spans="1:13" x14ac:dyDescent="0.2">
      <c r="A13" t="s">
        <v>1139</v>
      </c>
      <c r="B13" t="s">
        <v>1092</v>
      </c>
      <c r="C13" t="s">
        <v>32</v>
      </c>
      <c r="D13">
        <v>1400</v>
      </c>
      <c r="E13">
        <v>1127</v>
      </c>
      <c r="F13">
        <v>1002</v>
      </c>
      <c r="G13">
        <v>94</v>
      </c>
      <c r="H13">
        <v>0</v>
      </c>
      <c r="I13">
        <v>24</v>
      </c>
      <c r="J13">
        <v>216</v>
      </c>
      <c r="K13">
        <v>211</v>
      </c>
      <c r="L13">
        <v>1367</v>
      </c>
      <c r="M13">
        <v>455.66666666666703</v>
      </c>
    </row>
    <row r="14" spans="1:13" x14ac:dyDescent="0.2">
      <c r="A14" t="s">
        <v>1139</v>
      </c>
      <c r="B14" t="s">
        <v>1092</v>
      </c>
      <c r="C14" t="s">
        <v>294</v>
      </c>
      <c r="D14">
        <v>1449</v>
      </c>
      <c r="E14">
        <v>4308</v>
      </c>
      <c r="F14">
        <v>3791</v>
      </c>
      <c r="G14">
        <v>370</v>
      </c>
      <c r="H14">
        <v>0</v>
      </c>
      <c r="I14">
        <v>33</v>
      </c>
      <c r="J14">
        <v>321</v>
      </c>
      <c r="K14">
        <v>297</v>
      </c>
      <c r="L14">
        <v>4662</v>
      </c>
      <c r="M14">
        <v>1554</v>
      </c>
    </row>
    <row r="15" spans="1:13" x14ac:dyDescent="0.2">
      <c r="A15" t="s">
        <v>1139</v>
      </c>
      <c r="B15" t="s">
        <v>1092</v>
      </c>
      <c r="C15" t="s">
        <v>294</v>
      </c>
      <c r="D15">
        <v>1449</v>
      </c>
      <c r="E15">
        <v>1247</v>
      </c>
      <c r="F15">
        <v>1207</v>
      </c>
      <c r="G15">
        <v>26</v>
      </c>
      <c r="H15">
        <v>0</v>
      </c>
      <c r="I15">
        <v>36</v>
      </c>
      <c r="J15">
        <v>234</v>
      </c>
      <c r="K15">
        <v>219</v>
      </c>
      <c r="L15">
        <v>1517</v>
      </c>
      <c r="M15">
        <v>505.66666666666703</v>
      </c>
    </row>
    <row r="16" spans="1:13" x14ac:dyDescent="0.2">
      <c r="A16" t="s">
        <v>1139</v>
      </c>
      <c r="B16" t="s">
        <v>1092</v>
      </c>
      <c r="C16" t="s">
        <v>294</v>
      </c>
      <c r="D16">
        <v>1449</v>
      </c>
      <c r="E16">
        <v>4032</v>
      </c>
      <c r="F16">
        <v>3532</v>
      </c>
      <c r="G16">
        <v>351</v>
      </c>
      <c r="H16">
        <v>0</v>
      </c>
      <c r="I16">
        <v>33</v>
      </c>
      <c r="J16">
        <v>280</v>
      </c>
      <c r="K16">
        <v>270</v>
      </c>
      <c r="L16">
        <v>4345</v>
      </c>
      <c r="M16">
        <v>1448.3333333333301</v>
      </c>
    </row>
    <row r="17" spans="1:13" x14ac:dyDescent="0.2">
      <c r="A17" t="s">
        <v>1139</v>
      </c>
      <c r="B17" t="s">
        <v>1092</v>
      </c>
      <c r="C17" t="s">
        <v>73</v>
      </c>
      <c r="D17">
        <v>1969</v>
      </c>
      <c r="E17">
        <v>101</v>
      </c>
      <c r="F17">
        <v>85</v>
      </c>
      <c r="G17">
        <v>13</v>
      </c>
      <c r="H17">
        <v>8</v>
      </c>
      <c r="I17">
        <v>546</v>
      </c>
      <c r="J17">
        <v>250</v>
      </c>
      <c r="K17">
        <v>246</v>
      </c>
      <c r="L17">
        <v>897</v>
      </c>
      <c r="M17">
        <v>299</v>
      </c>
    </row>
    <row r="18" spans="1:13" x14ac:dyDescent="0.2">
      <c r="A18" t="s">
        <v>1139</v>
      </c>
      <c r="B18" t="s">
        <v>1092</v>
      </c>
      <c r="C18" t="s">
        <v>73</v>
      </c>
      <c r="D18">
        <v>1969</v>
      </c>
      <c r="E18">
        <v>1</v>
      </c>
      <c r="F18">
        <v>1</v>
      </c>
      <c r="G18">
        <v>1</v>
      </c>
      <c r="H18">
        <v>0</v>
      </c>
      <c r="I18">
        <v>6</v>
      </c>
      <c r="J18">
        <v>2</v>
      </c>
      <c r="K18">
        <v>2</v>
      </c>
      <c r="L18">
        <v>9</v>
      </c>
      <c r="M18">
        <v>3</v>
      </c>
    </row>
    <row r="19" spans="1:13" x14ac:dyDescent="0.2">
      <c r="A19" t="s">
        <v>1139</v>
      </c>
      <c r="B19" t="s">
        <v>1092</v>
      </c>
      <c r="C19" t="s">
        <v>58</v>
      </c>
      <c r="D19">
        <v>1848</v>
      </c>
      <c r="E19">
        <v>715</v>
      </c>
      <c r="F19">
        <v>707</v>
      </c>
      <c r="G19">
        <v>9</v>
      </c>
      <c r="H19">
        <v>0</v>
      </c>
      <c r="I19">
        <v>70</v>
      </c>
      <c r="J19">
        <v>203</v>
      </c>
      <c r="K19">
        <v>196</v>
      </c>
      <c r="L19">
        <v>988</v>
      </c>
      <c r="M19">
        <v>329.33333333333297</v>
      </c>
    </row>
    <row r="20" spans="1:13" x14ac:dyDescent="0.2">
      <c r="A20" t="s">
        <v>1139</v>
      </c>
      <c r="B20" t="s">
        <v>1092</v>
      </c>
      <c r="C20" t="s">
        <v>58</v>
      </c>
      <c r="D20">
        <v>1848</v>
      </c>
      <c r="E20">
        <v>13</v>
      </c>
      <c r="F20">
        <v>13</v>
      </c>
      <c r="G20">
        <v>0</v>
      </c>
      <c r="H20">
        <v>0</v>
      </c>
      <c r="I20">
        <v>20</v>
      </c>
      <c r="J20">
        <v>4</v>
      </c>
      <c r="K20">
        <v>4</v>
      </c>
      <c r="L20">
        <v>37</v>
      </c>
      <c r="M20">
        <v>12.3333333333333</v>
      </c>
    </row>
    <row r="21" spans="1:13" x14ac:dyDescent="0.2">
      <c r="A21" t="s">
        <v>1139</v>
      </c>
      <c r="B21" t="s">
        <v>1092</v>
      </c>
      <c r="C21" t="s">
        <v>64</v>
      </c>
      <c r="D21">
        <v>1413</v>
      </c>
      <c r="E21">
        <v>1436</v>
      </c>
      <c r="F21">
        <v>1228</v>
      </c>
      <c r="G21">
        <v>184</v>
      </c>
      <c r="H21">
        <v>0</v>
      </c>
      <c r="I21">
        <v>9</v>
      </c>
      <c r="J21">
        <v>276</v>
      </c>
      <c r="K21">
        <v>258</v>
      </c>
      <c r="L21">
        <v>1721</v>
      </c>
      <c r="M21">
        <v>573.66666666666697</v>
      </c>
    </row>
    <row r="22" spans="1:13" x14ac:dyDescent="0.2">
      <c r="A22" t="s">
        <v>1139</v>
      </c>
      <c r="B22" t="s">
        <v>1092</v>
      </c>
      <c r="C22" t="s">
        <v>64</v>
      </c>
      <c r="D22">
        <v>1413</v>
      </c>
      <c r="E22">
        <v>391</v>
      </c>
      <c r="F22">
        <v>376</v>
      </c>
      <c r="G22">
        <v>10</v>
      </c>
      <c r="H22">
        <v>0</v>
      </c>
      <c r="I22">
        <v>12</v>
      </c>
      <c r="J22">
        <v>211</v>
      </c>
      <c r="K22">
        <v>199</v>
      </c>
      <c r="L22">
        <v>614</v>
      </c>
      <c r="M22">
        <v>204.666666666667</v>
      </c>
    </row>
    <row r="23" spans="1:13" x14ac:dyDescent="0.2">
      <c r="A23" t="s">
        <v>1139</v>
      </c>
      <c r="B23" t="s">
        <v>1092</v>
      </c>
      <c r="C23" t="s">
        <v>64</v>
      </c>
      <c r="D23">
        <v>1413</v>
      </c>
      <c r="E23">
        <v>1361</v>
      </c>
      <c r="F23">
        <v>1206</v>
      </c>
      <c r="G23">
        <v>105</v>
      </c>
      <c r="H23">
        <v>0</v>
      </c>
      <c r="I23">
        <v>9</v>
      </c>
      <c r="J23">
        <v>226</v>
      </c>
      <c r="K23">
        <v>216</v>
      </c>
      <c r="L23">
        <v>1596</v>
      </c>
      <c r="M23">
        <v>532</v>
      </c>
    </row>
    <row r="24" spans="1:13" x14ac:dyDescent="0.2">
      <c r="A24" t="s">
        <v>1139</v>
      </c>
      <c r="B24" t="s">
        <v>1092</v>
      </c>
      <c r="C24" t="s">
        <v>1096</v>
      </c>
      <c r="D24">
        <v>1415</v>
      </c>
      <c r="E24">
        <v>1</v>
      </c>
      <c r="F24">
        <v>1</v>
      </c>
      <c r="G24">
        <v>0</v>
      </c>
      <c r="H24">
        <v>0</v>
      </c>
      <c r="I24">
        <v>0</v>
      </c>
      <c r="J24">
        <v>239</v>
      </c>
      <c r="K24">
        <v>224</v>
      </c>
      <c r="L24">
        <v>240</v>
      </c>
      <c r="M24">
        <v>80</v>
      </c>
    </row>
    <row r="25" spans="1:13" x14ac:dyDescent="0.2">
      <c r="A25" t="s">
        <v>1139</v>
      </c>
      <c r="B25" t="s">
        <v>1092</v>
      </c>
      <c r="C25" t="s">
        <v>1096</v>
      </c>
      <c r="D25">
        <v>1415</v>
      </c>
      <c r="E25">
        <v>1</v>
      </c>
      <c r="F25">
        <v>1</v>
      </c>
      <c r="G25">
        <v>0</v>
      </c>
      <c r="H25">
        <v>0</v>
      </c>
      <c r="I25">
        <v>0</v>
      </c>
      <c r="J25">
        <v>175</v>
      </c>
      <c r="K25">
        <v>169</v>
      </c>
      <c r="L25">
        <v>176</v>
      </c>
      <c r="M25">
        <v>58.6666666666667</v>
      </c>
    </row>
    <row r="26" spans="1:13" x14ac:dyDescent="0.2">
      <c r="A26" t="s">
        <v>1139</v>
      </c>
      <c r="B26" t="s">
        <v>1092</v>
      </c>
      <c r="C26" t="s">
        <v>1096</v>
      </c>
      <c r="D26">
        <v>1415</v>
      </c>
      <c r="E26">
        <v>0</v>
      </c>
      <c r="F26">
        <v>0</v>
      </c>
      <c r="G26">
        <v>0</v>
      </c>
      <c r="H26">
        <v>0</v>
      </c>
      <c r="I26">
        <v>0</v>
      </c>
      <c r="J26">
        <v>194</v>
      </c>
      <c r="K26">
        <v>187</v>
      </c>
      <c r="L26">
        <v>194</v>
      </c>
      <c r="M26">
        <v>64.6666666666667</v>
      </c>
    </row>
    <row r="27" spans="1:13" x14ac:dyDescent="0.2">
      <c r="A27" t="s">
        <v>1140</v>
      </c>
      <c r="B27" t="s">
        <v>1093</v>
      </c>
      <c r="C27" t="s">
        <v>343</v>
      </c>
      <c r="D27">
        <v>729</v>
      </c>
      <c r="E27">
        <v>1284</v>
      </c>
      <c r="F27">
        <v>1246</v>
      </c>
      <c r="G27">
        <v>38</v>
      </c>
      <c r="H27">
        <v>0</v>
      </c>
      <c r="I27">
        <v>9</v>
      </c>
      <c r="J27">
        <v>252</v>
      </c>
      <c r="K27">
        <v>224</v>
      </c>
      <c r="L27">
        <v>1545</v>
      </c>
      <c r="M27">
        <v>515</v>
      </c>
    </row>
    <row r="28" spans="1:13" x14ac:dyDescent="0.2">
      <c r="A28" t="s">
        <v>1140</v>
      </c>
      <c r="B28" t="s">
        <v>1093</v>
      </c>
      <c r="C28" t="s">
        <v>347</v>
      </c>
      <c r="D28">
        <v>328</v>
      </c>
      <c r="E28">
        <v>991</v>
      </c>
      <c r="F28">
        <v>951</v>
      </c>
      <c r="G28">
        <v>38</v>
      </c>
      <c r="H28">
        <v>0</v>
      </c>
      <c r="I28">
        <v>6</v>
      </c>
      <c r="J28">
        <v>256</v>
      </c>
      <c r="K28">
        <v>245</v>
      </c>
      <c r="L28">
        <v>1253</v>
      </c>
      <c r="M28">
        <v>417.66666666666703</v>
      </c>
    </row>
    <row r="29" spans="1:13" x14ac:dyDescent="0.2">
      <c r="A29" t="s">
        <v>1140</v>
      </c>
      <c r="B29" t="s">
        <v>1093</v>
      </c>
      <c r="C29" t="s">
        <v>351</v>
      </c>
      <c r="D29">
        <v>309</v>
      </c>
      <c r="E29">
        <v>997</v>
      </c>
      <c r="F29">
        <v>974</v>
      </c>
      <c r="G29">
        <v>26</v>
      </c>
      <c r="H29">
        <v>0</v>
      </c>
      <c r="I29">
        <v>6</v>
      </c>
      <c r="J29">
        <v>246</v>
      </c>
      <c r="K29">
        <v>223</v>
      </c>
      <c r="L29">
        <v>1249</v>
      </c>
      <c r="M29">
        <v>416.33333333333297</v>
      </c>
    </row>
    <row r="30" spans="1:13" x14ac:dyDescent="0.2">
      <c r="A30" t="s">
        <v>1140</v>
      </c>
      <c r="B30" t="s">
        <v>1093</v>
      </c>
      <c r="C30" t="s">
        <v>358</v>
      </c>
      <c r="D30">
        <v>693</v>
      </c>
      <c r="E30">
        <v>1482</v>
      </c>
      <c r="F30">
        <v>1414</v>
      </c>
      <c r="G30">
        <v>123</v>
      </c>
      <c r="H30">
        <v>109</v>
      </c>
      <c r="I30">
        <v>24</v>
      </c>
      <c r="J30">
        <v>258</v>
      </c>
      <c r="K30">
        <v>250</v>
      </c>
      <c r="L30">
        <v>1764</v>
      </c>
      <c r="M30">
        <v>588</v>
      </c>
    </row>
    <row r="31" spans="1:13" x14ac:dyDescent="0.2">
      <c r="A31" t="s">
        <v>1140</v>
      </c>
      <c r="B31" t="s">
        <v>1093</v>
      </c>
      <c r="C31" t="s">
        <v>358</v>
      </c>
      <c r="D31">
        <v>693</v>
      </c>
      <c r="E31">
        <v>1954</v>
      </c>
      <c r="F31">
        <v>1804</v>
      </c>
      <c r="G31">
        <v>216</v>
      </c>
      <c r="H31">
        <v>110</v>
      </c>
      <c r="I31">
        <v>24</v>
      </c>
      <c r="J31">
        <v>261</v>
      </c>
      <c r="K31">
        <v>248</v>
      </c>
      <c r="L31">
        <v>2239</v>
      </c>
      <c r="M31">
        <v>746.33333333333303</v>
      </c>
    </row>
    <row r="32" spans="1:13" x14ac:dyDescent="0.2">
      <c r="A32" t="s">
        <v>1140</v>
      </c>
      <c r="B32" t="s">
        <v>1093</v>
      </c>
      <c r="C32" t="s">
        <v>77</v>
      </c>
      <c r="D32">
        <v>567</v>
      </c>
      <c r="E32">
        <v>1655</v>
      </c>
      <c r="F32">
        <v>1593</v>
      </c>
      <c r="G32">
        <v>53</v>
      </c>
      <c r="H32">
        <v>0</v>
      </c>
      <c r="I32">
        <v>3</v>
      </c>
      <c r="J32">
        <v>188</v>
      </c>
      <c r="K32">
        <v>184</v>
      </c>
      <c r="L32">
        <v>1846</v>
      </c>
      <c r="M32">
        <v>615.33333333333303</v>
      </c>
    </row>
    <row r="33" spans="1:13" x14ac:dyDescent="0.2">
      <c r="A33" t="s">
        <v>1140</v>
      </c>
      <c r="B33" t="s">
        <v>1093</v>
      </c>
      <c r="C33" t="s">
        <v>77</v>
      </c>
      <c r="D33">
        <v>567</v>
      </c>
      <c r="E33">
        <v>2730</v>
      </c>
      <c r="F33">
        <v>2418</v>
      </c>
      <c r="G33">
        <v>197</v>
      </c>
      <c r="H33">
        <v>0</v>
      </c>
      <c r="I33">
        <v>3</v>
      </c>
      <c r="J33">
        <v>216</v>
      </c>
      <c r="K33">
        <v>191</v>
      </c>
      <c r="L33">
        <v>2949</v>
      </c>
      <c r="M33">
        <v>983</v>
      </c>
    </row>
    <row r="34" spans="1:13" x14ac:dyDescent="0.2">
      <c r="A34" t="s">
        <v>1140</v>
      </c>
      <c r="B34" t="s">
        <v>1093</v>
      </c>
      <c r="C34" t="s">
        <v>84</v>
      </c>
      <c r="D34">
        <v>174</v>
      </c>
      <c r="E34">
        <v>1891</v>
      </c>
      <c r="F34">
        <v>1691</v>
      </c>
      <c r="G34">
        <v>121</v>
      </c>
      <c r="H34">
        <v>27</v>
      </c>
      <c r="I34">
        <v>48</v>
      </c>
      <c r="J34">
        <v>363</v>
      </c>
      <c r="K34">
        <v>291</v>
      </c>
      <c r="L34">
        <v>2302</v>
      </c>
      <c r="M34">
        <v>767.33333333333303</v>
      </c>
    </row>
    <row r="35" spans="1:13" x14ac:dyDescent="0.2">
      <c r="A35" t="s">
        <v>1140</v>
      </c>
      <c r="B35" t="s">
        <v>1093</v>
      </c>
      <c r="C35" t="s">
        <v>88</v>
      </c>
      <c r="D35">
        <v>184</v>
      </c>
      <c r="E35">
        <v>1796</v>
      </c>
      <c r="F35">
        <v>1611</v>
      </c>
      <c r="G35">
        <v>157</v>
      </c>
      <c r="H35">
        <v>59</v>
      </c>
      <c r="I35">
        <v>24</v>
      </c>
      <c r="J35">
        <v>371</v>
      </c>
      <c r="K35">
        <v>295</v>
      </c>
      <c r="L35">
        <v>2191</v>
      </c>
      <c r="M35">
        <v>730.33333333333303</v>
      </c>
    </row>
    <row r="36" spans="1:13" x14ac:dyDescent="0.2">
      <c r="A36" t="s">
        <v>1139</v>
      </c>
      <c r="B36" t="s">
        <v>1092</v>
      </c>
      <c r="C36" t="s">
        <v>92</v>
      </c>
      <c r="D36">
        <v>1053</v>
      </c>
      <c r="E36">
        <v>140</v>
      </c>
      <c r="F36">
        <v>129</v>
      </c>
      <c r="G36">
        <v>10</v>
      </c>
      <c r="H36">
        <v>0</v>
      </c>
      <c r="I36">
        <v>54</v>
      </c>
      <c r="J36">
        <v>198</v>
      </c>
      <c r="K36">
        <v>188</v>
      </c>
      <c r="L36">
        <v>392</v>
      </c>
      <c r="M36">
        <v>130.666666666667</v>
      </c>
    </row>
    <row r="37" spans="1:13" x14ac:dyDescent="0.2">
      <c r="A37" t="s">
        <v>1139</v>
      </c>
      <c r="B37" t="s">
        <v>1092</v>
      </c>
      <c r="C37" t="s">
        <v>97</v>
      </c>
      <c r="D37">
        <v>1054</v>
      </c>
      <c r="E37">
        <v>13</v>
      </c>
      <c r="F37">
        <v>9</v>
      </c>
      <c r="G37">
        <v>3</v>
      </c>
      <c r="H37">
        <v>0</v>
      </c>
      <c r="I37">
        <v>72</v>
      </c>
      <c r="J37">
        <v>71</v>
      </c>
      <c r="K37">
        <v>69</v>
      </c>
      <c r="L37">
        <v>156</v>
      </c>
      <c r="M37">
        <v>52</v>
      </c>
    </row>
    <row r="38" spans="1:13" x14ac:dyDescent="0.2">
      <c r="A38" t="s">
        <v>1139</v>
      </c>
      <c r="B38" t="s">
        <v>1092</v>
      </c>
      <c r="C38" t="s">
        <v>97</v>
      </c>
      <c r="D38">
        <v>1054</v>
      </c>
      <c r="E38">
        <v>122</v>
      </c>
      <c r="F38">
        <v>115</v>
      </c>
      <c r="G38">
        <v>6</v>
      </c>
      <c r="H38">
        <v>1</v>
      </c>
      <c r="I38">
        <v>108</v>
      </c>
      <c r="J38">
        <v>204</v>
      </c>
      <c r="K38">
        <v>194</v>
      </c>
      <c r="L38">
        <v>434</v>
      </c>
      <c r="M38">
        <v>144.666666666667</v>
      </c>
    </row>
    <row r="39" spans="1:13" x14ac:dyDescent="0.2">
      <c r="A39" t="s">
        <v>1139</v>
      </c>
      <c r="B39" t="s">
        <v>1092</v>
      </c>
      <c r="C39" t="s">
        <v>511</v>
      </c>
      <c r="D39">
        <v>1902</v>
      </c>
      <c r="E39">
        <v>260</v>
      </c>
      <c r="F39">
        <v>245</v>
      </c>
      <c r="G39">
        <v>15</v>
      </c>
      <c r="H39">
        <v>3</v>
      </c>
      <c r="I39">
        <v>36</v>
      </c>
      <c r="J39">
        <v>216</v>
      </c>
      <c r="K39">
        <v>205</v>
      </c>
      <c r="L39">
        <v>512</v>
      </c>
      <c r="M39">
        <v>170.666666666667</v>
      </c>
    </row>
    <row r="40" spans="1:13" x14ac:dyDescent="0.2">
      <c r="A40" t="s">
        <v>1139</v>
      </c>
      <c r="B40" t="s">
        <v>1092</v>
      </c>
      <c r="C40" t="s">
        <v>121</v>
      </c>
      <c r="D40">
        <v>1903</v>
      </c>
      <c r="E40">
        <v>547</v>
      </c>
      <c r="F40">
        <v>497</v>
      </c>
      <c r="G40">
        <v>67</v>
      </c>
      <c r="H40">
        <v>28</v>
      </c>
      <c r="I40">
        <v>60</v>
      </c>
      <c r="J40">
        <v>264</v>
      </c>
      <c r="K40">
        <v>237</v>
      </c>
      <c r="L40">
        <v>871</v>
      </c>
      <c r="M40">
        <v>290.33333333333297</v>
      </c>
    </row>
    <row r="41" spans="1:13" x14ac:dyDescent="0.2">
      <c r="A41" t="s">
        <v>1139</v>
      </c>
      <c r="B41" t="s">
        <v>1092</v>
      </c>
      <c r="C41" t="s">
        <v>1082</v>
      </c>
      <c r="D41">
        <v>1850</v>
      </c>
      <c r="E41">
        <v>22</v>
      </c>
      <c r="F41">
        <v>22</v>
      </c>
      <c r="G41">
        <v>0</v>
      </c>
      <c r="H41">
        <v>0</v>
      </c>
      <c r="I41">
        <v>70</v>
      </c>
      <c r="J41">
        <v>190</v>
      </c>
      <c r="K41">
        <v>184</v>
      </c>
      <c r="L41">
        <v>282</v>
      </c>
      <c r="M41">
        <v>94</v>
      </c>
    </row>
    <row r="42" spans="1:13" x14ac:dyDescent="0.2">
      <c r="A42" t="s">
        <v>1139</v>
      </c>
      <c r="B42" t="s">
        <v>1092</v>
      </c>
      <c r="C42" t="s">
        <v>1082</v>
      </c>
      <c r="D42">
        <v>1850</v>
      </c>
      <c r="E42">
        <v>0</v>
      </c>
      <c r="F42">
        <v>0</v>
      </c>
      <c r="G42">
        <v>0</v>
      </c>
      <c r="H42">
        <v>0</v>
      </c>
      <c r="I42">
        <v>10</v>
      </c>
      <c r="J42">
        <v>3</v>
      </c>
      <c r="K42">
        <v>3</v>
      </c>
      <c r="L42">
        <v>13</v>
      </c>
      <c r="M42">
        <v>4.3333333333333304</v>
      </c>
    </row>
    <row r="43" spans="1:13" x14ac:dyDescent="0.2">
      <c r="A43" t="s">
        <v>1139</v>
      </c>
      <c r="B43" t="s">
        <v>1092</v>
      </c>
      <c r="C43" t="s">
        <v>112</v>
      </c>
      <c r="D43">
        <v>1852</v>
      </c>
      <c r="E43">
        <v>872</v>
      </c>
      <c r="F43">
        <v>866</v>
      </c>
      <c r="G43">
        <v>7</v>
      </c>
      <c r="H43">
        <v>0</v>
      </c>
      <c r="I43">
        <v>160</v>
      </c>
      <c r="J43">
        <v>204</v>
      </c>
      <c r="K43">
        <v>196</v>
      </c>
      <c r="L43">
        <v>1236</v>
      </c>
      <c r="M43">
        <v>412</v>
      </c>
    </row>
    <row r="44" spans="1:13" x14ac:dyDescent="0.2">
      <c r="A44" t="s">
        <v>1139</v>
      </c>
      <c r="B44" t="s">
        <v>1092</v>
      </c>
      <c r="C44" t="s">
        <v>112</v>
      </c>
      <c r="D44">
        <v>1852</v>
      </c>
      <c r="E44">
        <v>11</v>
      </c>
      <c r="F44">
        <v>11</v>
      </c>
      <c r="G44">
        <v>0</v>
      </c>
      <c r="H44">
        <v>0</v>
      </c>
      <c r="I44">
        <v>10</v>
      </c>
      <c r="J44">
        <v>3</v>
      </c>
      <c r="K44">
        <v>3</v>
      </c>
      <c r="L44">
        <v>24</v>
      </c>
      <c r="M44">
        <v>8</v>
      </c>
    </row>
    <row r="45" spans="1:13" x14ac:dyDescent="0.2">
      <c r="A45" t="s">
        <v>1140</v>
      </c>
      <c r="B45" t="s">
        <v>1093</v>
      </c>
      <c r="C45" t="s">
        <v>117</v>
      </c>
      <c r="D45">
        <v>658</v>
      </c>
      <c r="E45">
        <v>390</v>
      </c>
      <c r="F45">
        <v>352</v>
      </c>
      <c r="G45">
        <v>62</v>
      </c>
      <c r="H45">
        <v>49</v>
      </c>
      <c r="I45">
        <v>60</v>
      </c>
      <c r="J45">
        <v>356</v>
      </c>
      <c r="K45">
        <v>266</v>
      </c>
      <c r="L45">
        <v>806</v>
      </c>
      <c r="M45">
        <v>268.66666666666703</v>
      </c>
    </row>
    <row r="46" spans="1:13" x14ac:dyDescent="0.2">
      <c r="A46" t="s">
        <v>1140</v>
      </c>
      <c r="B46" t="s">
        <v>1093</v>
      </c>
      <c r="C46" t="s">
        <v>117</v>
      </c>
      <c r="D46">
        <v>658</v>
      </c>
      <c r="E46">
        <v>0</v>
      </c>
      <c r="F46">
        <v>0</v>
      </c>
      <c r="G46">
        <v>0</v>
      </c>
      <c r="H46">
        <v>0</v>
      </c>
      <c r="I46">
        <v>12</v>
      </c>
      <c r="J46">
        <v>3</v>
      </c>
      <c r="K46">
        <v>3</v>
      </c>
      <c r="L46">
        <v>15</v>
      </c>
      <c r="M46">
        <v>5</v>
      </c>
    </row>
    <row r="47" spans="1:13" x14ac:dyDescent="0.2">
      <c r="A47" t="s">
        <v>1140</v>
      </c>
      <c r="B47" t="s">
        <v>1093</v>
      </c>
      <c r="C47" t="s">
        <v>117</v>
      </c>
      <c r="D47">
        <v>658</v>
      </c>
      <c r="E47">
        <v>311</v>
      </c>
      <c r="F47">
        <v>308</v>
      </c>
      <c r="G47">
        <v>32</v>
      </c>
      <c r="H47">
        <v>30</v>
      </c>
      <c r="I47">
        <v>120</v>
      </c>
      <c r="J47">
        <v>295</v>
      </c>
      <c r="K47">
        <v>264</v>
      </c>
      <c r="L47">
        <v>726</v>
      </c>
      <c r="M47">
        <v>242</v>
      </c>
    </row>
    <row r="48" spans="1:13" x14ac:dyDescent="0.2">
      <c r="A48" t="s">
        <v>1139</v>
      </c>
      <c r="B48" t="s">
        <v>1092</v>
      </c>
      <c r="C48" t="s">
        <v>14</v>
      </c>
      <c r="D48">
        <v>1888</v>
      </c>
      <c r="E48">
        <v>199</v>
      </c>
      <c r="F48">
        <v>195</v>
      </c>
      <c r="G48">
        <v>2</v>
      </c>
      <c r="H48">
        <v>1</v>
      </c>
      <c r="I48">
        <v>18</v>
      </c>
      <c r="J48">
        <v>262</v>
      </c>
      <c r="K48">
        <v>247</v>
      </c>
      <c r="L48">
        <v>479</v>
      </c>
      <c r="M48">
        <v>159.666666666667</v>
      </c>
    </row>
    <row r="49" spans="1:13" x14ac:dyDescent="0.2">
      <c r="A49" t="s">
        <v>1139</v>
      </c>
      <c r="B49" t="s">
        <v>1092</v>
      </c>
      <c r="C49" t="s">
        <v>125</v>
      </c>
      <c r="D49">
        <v>1065</v>
      </c>
      <c r="E49">
        <v>9150</v>
      </c>
      <c r="F49">
        <v>7886</v>
      </c>
      <c r="G49">
        <v>986</v>
      </c>
      <c r="H49">
        <v>15</v>
      </c>
      <c r="I49">
        <v>99</v>
      </c>
      <c r="J49">
        <v>327</v>
      </c>
      <c r="K49">
        <v>306</v>
      </c>
      <c r="L49">
        <v>9576</v>
      </c>
      <c r="M49">
        <v>3192</v>
      </c>
    </row>
    <row r="50" spans="1:13" x14ac:dyDescent="0.2">
      <c r="A50" t="s">
        <v>1139</v>
      </c>
      <c r="B50" t="s">
        <v>1092</v>
      </c>
      <c r="C50" t="s">
        <v>125</v>
      </c>
      <c r="D50">
        <v>1065</v>
      </c>
      <c r="E50">
        <v>7388</v>
      </c>
      <c r="F50">
        <v>7057</v>
      </c>
      <c r="G50">
        <v>262</v>
      </c>
      <c r="H50">
        <v>12</v>
      </c>
      <c r="I50">
        <v>90</v>
      </c>
      <c r="J50">
        <v>292</v>
      </c>
      <c r="K50">
        <v>282</v>
      </c>
      <c r="L50">
        <v>7770</v>
      </c>
      <c r="M50">
        <v>2590</v>
      </c>
    </row>
    <row r="51" spans="1:13" x14ac:dyDescent="0.2">
      <c r="A51" t="s">
        <v>1139</v>
      </c>
      <c r="B51" t="s">
        <v>1092</v>
      </c>
      <c r="C51" t="s">
        <v>125</v>
      </c>
      <c r="D51">
        <v>1065</v>
      </c>
      <c r="E51">
        <v>9401</v>
      </c>
      <c r="F51">
        <v>8314</v>
      </c>
      <c r="G51">
        <v>778</v>
      </c>
      <c r="H51">
        <v>11</v>
      </c>
      <c r="I51">
        <v>117</v>
      </c>
      <c r="J51">
        <v>308</v>
      </c>
      <c r="K51">
        <v>299</v>
      </c>
      <c r="L51">
        <v>9826</v>
      </c>
      <c r="M51">
        <v>3275.3333333333298</v>
      </c>
    </row>
    <row r="52" spans="1:13" x14ac:dyDescent="0.2">
      <c r="A52" t="s">
        <v>1140</v>
      </c>
      <c r="B52" t="s">
        <v>1093</v>
      </c>
      <c r="C52" t="s">
        <v>135</v>
      </c>
      <c r="D52">
        <v>657</v>
      </c>
      <c r="E52">
        <v>1030</v>
      </c>
      <c r="F52">
        <v>981</v>
      </c>
      <c r="G52">
        <v>36</v>
      </c>
      <c r="H52">
        <v>10</v>
      </c>
      <c r="I52">
        <v>12</v>
      </c>
      <c r="J52">
        <v>232</v>
      </c>
      <c r="K52">
        <v>215</v>
      </c>
      <c r="L52">
        <v>1274</v>
      </c>
      <c r="M52">
        <v>424.66666666666703</v>
      </c>
    </row>
    <row r="53" spans="1:13" x14ac:dyDescent="0.2">
      <c r="A53" t="s">
        <v>1140</v>
      </c>
      <c r="B53" t="s">
        <v>1093</v>
      </c>
      <c r="C53" t="s">
        <v>135</v>
      </c>
      <c r="D53">
        <v>657</v>
      </c>
      <c r="E53">
        <v>3220</v>
      </c>
      <c r="F53">
        <v>3194</v>
      </c>
      <c r="G53">
        <v>38</v>
      </c>
      <c r="H53">
        <v>19</v>
      </c>
      <c r="I53">
        <v>0</v>
      </c>
      <c r="J53">
        <v>206</v>
      </c>
      <c r="K53">
        <v>190</v>
      </c>
      <c r="L53">
        <v>3426</v>
      </c>
      <c r="M53">
        <v>1142</v>
      </c>
    </row>
    <row r="54" spans="1:13" x14ac:dyDescent="0.2">
      <c r="A54" t="s">
        <v>1139</v>
      </c>
      <c r="B54" t="s">
        <v>1092</v>
      </c>
      <c r="C54" t="s">
        <v>139</v>
      </c>
      <c r="D54">
        <v>2006</v>
      </c>
      <c r="E54">
        <v>301</v>
      </c>
      <c r="F54">
        <v>297</v>
      </c>
      <c r="G54">
        <v>8</v>
      </c>
      <c r="H54">
        <v>0</v>
      </c>
      <c r="I54">
        <v>150</v>
      </c>
      <c r="J54">
        <v>181</v>
      </c>
      <c r="K54">
        <v>178</v>
      </c>
      <c r="L54">
        <v>632</v>
      </c>
      <c r="M54">
        <v>210.666666666667</v>
      </c>
    </row>
    <row r="55" spans="1:13" x14ac:dyDescent="0.2">
      <c r="A55" t="s">
        <v>1139</v>
      </c>
      <c r="B55" t="s">
        <v>1092</v>
      </c>
      <c r="C55" t="s">
        <v>224</v>
      </c>
      <c r="D55">
        <v>1055</v>
      </c>
      <c r="E55">
        <v>439</v>
      </c>
      <c r="F55">
        <v>383</v>
      </c>
      <c r="G55">
        <v>39</v>
      </c>
      <c r="H55">
        <v>0</v>
      </c>
      <c r="I55">
        <v>36</v>
      </c>
      <c r="J55">
        <v>230</v>
      </c>
      <c r="K55">
        <v>213</v>
      </c>
      <c r="L55">
        <v>705</v>
      </c>
      <c r="M55">
        <v>235</v>
      </c>
    </row>
    <row r="56" spans="1:13" x14ac:dyDescent="0.2">
      <c r="A56" t="s">
        <v>1139</v>
      </c>
      <c r="B56" t="s">
        <v>1092</v>
      </c>
      <c r="C56" t="s">
        <v>224</v>
      </c>
      <c r="D56">
        <v>1055</v>
      </c>
      <c r="E56">
        <v>0</v>
      </c>
      <c r="F56">
        <v>0</v>
      </c>
      <c r="G56">
        <v>0</v>
      </c>
      <c r="H56">
        <v>0</v>
      </c>
      <c r="I56">
        <v>0</v>
      </c>
      <c r="J56">
        <v>3</v>
      </c>
      <c r="K56">
        <v>0</v>
      </c>
      <c r="L56">
        <v>3</v>
      </c>
      <c r="M56">
        <v>1</v>
      </c>
    </row>
    <row r="57" spans="1:13" x14ac:dyDescent="0.2">
      <c r="A57" t="s">
        <v>1139</v>
      </c>
      <c r="B57" t="s">
        <v>1092</v>
      </c>
      <c r="C57" t="s">
        <v>229</v>
      </c>
      <c r="D57">
        <v>1056</v>
      </c>
      <c r="E57">
        <v>443</v>
      </c>
      <c r="F57">
        <v>386</v>
      </c>
      <c r="G57">
        <v>40</v>
      </c>
      <c r="H57">
        <v>0</v>
      </c>
      <c r="I57">
        <v>54</v>
      </c>
      <c r="J57">
        <v>219</v>
      </c>
      <c r="K57">
        <v>201</v>
      </c>
      <c r="L57">
        <v>716</v>
      </c>
      <c r="M57">
        <v>238.666666666667</v>
      </c>
    </row>
    <row r="58" spans="1:13" x14ac:dyDescent="0.2">
      <c r="A58" t="s">
        <v>1139</v>
      </c>
      <c r="B58" t="s">
        <v>1092</v>
      </c>
      <c r="C58" t="s">
        <v>229</v>
      </c>
      <c r="D58">
        <v>1056</v>
      </c>
      <c r="E58">
        <v>0</v>
      </c>
      <c r="F58">
        <v>0</v>
      </c>
      <c r="G58">
        <v>0</v>
      </c>
      <c r="H58">
        <v>0</v>
      </c>
      <c r="I58">
        <v>0</v>
      </c>
      <c r="J58">
        <v>3</v>
      </c>
      <c r="K58">
        <v>0</v>
      </c>
      <c r="L58">
        <v>3</v>
      </c>
      <c r="M58">
        <v>1</v>
      </c>
    </row>
    <row r="59" spans="1:13" x14ac:dyDescent="0.2">
      <c r="A59" t="s">
        <v>1140</v>
      </c>
      <c r="B59" t="s">
        <v>1093</v>
      </c>
      <c r="C59" t="s">
        <v>148</v>
      </c>
      <c r="D59">
        <v>593</v>
      </c>
      <c r="E59">
        <v>931</v>
      </c>
      <c r="F59">
        <v>833</v>
      </c>
      <c r="G59">
        <v>57</v>
      </c>
      <c r="H59">
        <v>17</v>
      </c>
      <c r="I59">
        <v>84</v>
      </c>
      <c r="J59">
        <v>310</v>
      </c>
      <c r="K59">
        <v>243</v>
      </c>
      <c r="L59">
        <v>1325</v>
      </c>
      <c r="M59">
        <v>441.66666666666703</v>
      </c>
    </row>
    <row r="60" spans="1:13" x14ac:dyDescent="0.2">
      <c r="A60" t="s">
        <v>1140</v>
      </c>
      <c r="B60" t="s">
        <v>1093</v>
      </c>
      <c r="C60" t="s">
        <v>152</v>
      </c>
      <c r="D60">
        <v>349</v>
      </c>
      <c r="E60">
        <v>1067</v>
      </c>
      <c r="F60">
        <v>952</v>
      </c>
      <c r="G60">
        <v>69</v>
      </c>
      <c r="H60">
        <v>6</v>
      </c>
      <c r="I60">
        <v>48</v>
      </c>
      <c r="J60">
        <v>360</v>
      </c>
      <c r="K60">
        <v>281</v>
      </c>
      <c r="L60">
        <v>1475</v>
      </c>
      <c r="M60">
        <v>491.66666666666703</v>
      </c>
    </row>
    <row r="61" spans="1:13" x14ac:dyDescent="0.2">
      <c r="A61" t="s">
        <v>1140</v>
      </c>
      <c r="B61" t="s">
        <v>1093</v>
      </c>
      <c r="C61" t="s">
        <v>156</v>
      </c>
      <c r="D61">
        <v>598</v>
      </c>
      <c r="E61">
        <v>1188</v>
      </c>
      <c r="F61">
        <v>1064</v>
      </c>
      <c r="G61">
        <v>103</v>
      </c>
      <c r="H61">
        <v>24</v>
      </c>
      <c r="I61">
        <v>12</v>
      </c>
      <c r="J61">
        <v>241</v>
      </c>
      <c r="K61">
        <v>213</v>
      </c>
      <c r="L61">
        <v>1441</v>
      </c>
      <c r="M61">
        <v>480.33333333333297</v>
      </c>
    </row>
    <row r="62" spans="1:13" x14ac:dyDescent="0.2">
      <c r="A62" t="s">
        <v>1139</v>
      </c>
      <c r="B62" t="s">
        <v>1092</v>
      </c>
      <c r="C62" t="s">
        <v>1097</v>
      </c>
      <c r="D62">
        <v>1440</v>
      </c>
      <c r="E62">
        <v>10142</v>
      </c>
      <c r="F62">
        <v>8872</v>
      </c>
      <c r="G62">
        <v>1001</v>
      </c>
      <c r="H62">
        <v>0</v>
      </c>
      <c r="I62">
        <v>60</v>
      </c>
      <c r="J62">
        <v>259</v>
      </c>
      <c r="K62">
        <v>243</v>
      </c>
      <c r="L62">
        <v>10461</v>
      </c>
      <c r="M62">
        <v>3487</v>
      </c>
    </row>
    <row r="63" spans="1:13" x14ac:dyDescent="0.2">
      <c r="A63" t="s">
        <v>1139</v>
      </c>
      <c r="B63" t="s">
        <v>1092</v>
      </c>
      <c r="C63" t="s">
        <v>1097</v>
      </c>
      <c r="D63">
        <v>1440</v>
      </c>
      <c r="E63">
        <v>9135</v>
      </c>
      <c r="F63">
        <v>8748</v>
      </c>
      <c r="G63">
        <v>338</v>
      </c>
      <c r="H63">
        <v>0</v>
      </c>
      <c r="I63">
        <v>72</v>
      </c>
      <c r="J63">
        <v>221</v>
      </c>
      <c r="K63">
        <v>210</v>
      </c>
      <c r="L63">
        <v>9428</v>
      </c>
      <c r="M63">
        <v>3142.6666666666702</v>
      </c>
    </row>
    <row r="64" spans="1:13" x14ac:dyDescent="0.2">
      <c r="A64" t="s">
        <v>1139</v>
      </c>
      <c r="B64" t="s">
        <v>1092</v>
      </c>
      <c r="C64" t="s">
        <v>1097</v>
      </c>
      <c r="D64">
        <v>1440</v>
      </c>
      <c r="E64">
        <v>10322</v>
      </c>
      <c r="F64">
        <v>9227</v>
      </c>
      <c r="G64">
        <v>797</v>
      </c>
      <c r="H64">
        <v>0</v>
      </c>
      <c r="I64">
        <v>60</v>
      </c>
      <c r="J64">
        <v>214</v>
      </c>
      <c r="K64">
        <v>209</v>
      </c>
      <c r="L64">
        <v>10596</v>
      </c>
      <c r="M64">
        <v>3532</v>
      </c>
    </row>
    <row r="65" spans="1:13" x14ac:dyDescent="0.2">
      <c r="A65" t="s">
        <v>1139</v>
      </c>
      <c r="B65" t="s">
        <v>1092</v>
      </c>
      <c r="C65" t="s">
        <v>1098</v>
      </c>
      <c r="D65">
        <v>1442</v>
      </c>
      <c r="E65">
        <v>23</v>
      </c>
      <c r="F65">
        <v>21</v>
      </c>
      <c r="G65">
        <v>1</v>
      </c>
      <c r="H65">
        <v>1</v>
      </c>
      <c r="I65">
        <v>0</v>
      </c>
      <c r="J65">
        <v>210</v>
      </c>
      <c r="K65">
        <v>197</v>
      </c>
      <c r="L65">
        <v>233</v>
      </c>
      <c r="M65">
        <v>77.6666666666667</v>
      </c>
    </row>
    <row r="66" spans="1:13" x14ac:dyDescent="0.2">
      <c r="A66" t="s">
        <v>1139</v>
      </c>
      <c r="B66" t="s">
        <v>1092</v>
      </c>
      <c r="C66" t="s">
        <v>1098</v>
      </c>
      <c r="D66">
        <v>1442</v>
      </c>
      <c r="E66">
        <v>230</v>
      </c>
      <c r="F66">
        <v>212</v>
      </c>
      <c r="G66">
        <v>16</v>
      </c>
      <c r="H66">
        <v>10</v>
      </c>
      <c r="I66">
        <v>0</v>
      </c>
      <c r="J66">
        <v>179</v>
      </c>
      <c r="K66">
        <v>173</v>
      </c>
      <c r="L66">
        <v>409</v>
      </c>
      <c r="M66">
        <v>136.333333333333</v>
      </c>
    </row>
    <row r="67" spans="1:13" x14ac:dyDescent="0.2">
      <c r="A67" t="s">
        <v>1139</v>
      </c>
      <c r="B67" t="s">
        <v>1092</v>
      </c>
      <c r="C67" t="s">
        <v>1098</v>
      </c>
      <c r="D67">
        <v>1442</v>
      </c>
      <c r="E67">
        <v>10</v>
      </c>
      <c r="F67">
        <v>7</v>
      </c>
      <c r="G67">
        <v>2</v>
      </c>
      <c r="H67">
        <v>3</v>
      </c>
      <c r="I67">
        <v>0</v>
      </c>
      <c r="J67">
        <v>185</v>
      </c>
      <c r="K67">
        <v>181</v>
      </c>
      <c r="L67">
        <v>195</v>
      </c>
      <c r="M67">
        <v>65</v>
      </c>
    </row>
    <row r="68" spans="1:13" x14ac:dyDescent="0.2">
      <c r="A68" t="s">
        <v>1139</v>
      </c>
      <c r="B68" t="s">
        <v>1092</v>
      </c>
      <c r="C68" t="s">
        <v>170</v>
      </c>
      <c r="D68">
        <v>1882</v>
      </c>
      <c r="E68">
        <v>28</v>
      </c>
      <c r="F68">
        <v>28</v>
      </c>
      <c r="G68">
        <v>1</v>
      </c>
      <c r="H68">
        <v>0</v>
      </c>
      <c r="I68">
        <v>240</v>
      </c>
      <c r="J68">
        <v>216</v>
      </c>
      <c r="K68">
        <v>192</v>
      </c>
      <c r="L68">
        <v>484</v>
      </c>
      <c r="M68">
        <v>161.333333333333</v>
      </c>
    </row>
    <row r="69" spans="1:13" x14ac:dyDescent="0.2">
      <c r="A69" t="s">
        <v>1139</v>
      </c>
      <c r="B69" t="s">
        <v>1092</v>
      </c>
      <c r="C69" t="s">
        <v>170</v>
      </c>
      <c r="D69">
        <v>1882</v>
      </c>
      <c r="E69">
        <v>0</v>
      </c>
      <c r="F69">
        <v>0</v>
      </c>
      <c r="G69">
        <v>0</v>
      </c>
      <c r="H69">
        <v>0</v>
      </c>
      <c r="I69">
        <v>12</v>
      </c>
      <c r="J69">
        <v>4</v>
      </c>
      <c r="K69">
        <v>4</v>
      </c>
      <c r="L69">
        <v>16</v>
      </c>
      <c r="M69">
        <v>5.3333333333333304</v>
      </c>
    </row>
    <row r="70" spans="1:13" x14ac:dyDescent="0.2">
      <c r="A70" t="s">
        <v>1140</v>
      </c>
      <c r="B70" t="s">
        <v>1093</v>
      </c>
      <c r="C70" t="s">
        <v>173</v>
      </c>
      <c r="D70">
        <v>47</v>
      </c>
      <c r="E70">
        <v>1988</v>
      </c>
      <c r="F70">
        <v>1777</v>
      </c>
      <c r="G70">
        <v>143</v>
      </c>
      <c r="H70">
        <v>2</v>
      </c>
      <c r="I70">
        <v>8</v>
      </c>
      <c r="J70">
        <v>372</v>
      </c>
      <c r="K70">
        <v>316</v>
      </c>
      <c r="L70">
        <v>2368</v>
      </c>
      <c r="M70">
        <v>789.33333333333303</v>
      </c>
    </row>
    <row r="71" spans="1:13" x14ac:dyDescent="0.2">
      <c r="A71" t="s">
        <v>1139</v>
      </c>
      <c r="B71" t="s">
        <v>1092</v>
      </c>
      <c r="C71" t="s">
        <v>177</v>
      </c>
      <c r="D71">
        <v>1966</v>
      </c>
      <c r="E71">
        <v>50</v>
      </c>
      <c r="F71">
        <v>46</v>
      </c>
      <c r="G71">
        <v>2</v>
      </c>
      <c r="H71">
        <v>0</v>
      </c>
      <c r="I71">
        <v>132</v>
      </c>
      <c r="J71">
        <v>218</v>
      </c>
      <c r="K71">
        <v>197</v>
      </c>
      <c r="L71">
        <v>400</v>
      </c>
      <c r="M71">
        <v>133.333333333333</v>
      </c>
    </row>
    <row r="72" spans="1:13" x14ac:dyDescent="0.2">
      <c r="A72" t="s">
        <v>1139</v>
      </c>
      <c r="B72" t="s">
        <v>1092</v>
      </c>
      <c r="C72" t="s">
        <v>220</v>
      </c>
      <c r="D72">
        <v>1972</v>
      </c>
      <c r="E72">
        <v>242</v>
      </c>
      <c r="F72">
        <v>235</v>
      </c>
      <c r="G72">
        <v>4</v>
      </c>
      <c r="H72">
        <v>0</v>
      </c>
      <c r="I72">
        <v>12</v>
      </c>
      <c r="J72">
        <v>62</v>
      </c>
      <c r="K72">
        <v>58</v>
      </c>
      <c r="L72">
        <v>316</v>
      </c>
      <c r="M72">
        <v>105.333333333333</v>
      </c>
    </row>
    <row r="73" spans="1:13" x14ac:dyDescent="0.2">
      <c r="A73" t="s">
        <v>1139</v>
      </c>
      <c r="B73" t="s">
        <v>1092</v>
      </c>
      <c r="C73" t="s">
        <v>220</v>
      </c>
      <c r="D73">
        <v>1972</v>
      </c>
      <c r="E73">
        <v>3621</v>
      </c>
      <c r="F73">
        <v>3487</v>
      </c>
      <c r="G73">
        <v>87</v>
      </c>
      <c r="H73">
        <v>0</v>
      </c>
      <c r="I73">
        <v>30</v>
      </c>
      <c r="J73">
        <v>258</v>
      </c>
      <c r="K73">
        <v>246</v>
      </c>
      <c r="L73">
        <v>3909</v>
      </c>
      <c r="M73">
        <v>1303</v>
      </c>
    </row>
    <row r="74" spans="1:13" x14ac:dyDescent="0.2">
      <c r="A74" t="s">
        <v>1139</v>
      </c>
      <c r="B74" t="s">
        <v>1092</v>
      </c>
      <c r="C74" t="s">
        <v>220</v>
      </c>
      <c r="D74">
        <v>1972</v>
      </c>
      <c r="E74">
        <v>2084</v>
      </c>
      <c r="F74">
        <v>1928</v>
      </c>
      <c r="G74">
        <v>132</v>
      </c>
      <c r="H74">
        <v>0</v>
      </c>
      <c r="I74">
        <v>18</v>
      </c>
      <c r="J74">
        <v>249</v>
      </c>
      <c r="K74">
        <v>239</v>
      </c>
      <c r="L74">
        <v>2351</v>
      </c>
      <c r="M74">
        <v>783.66666666666697</v>
      </c>
    </row>
    <row r="75" spans="1:13" x14ac:dyDescent="0.2">
      <c r="A75" t="s">
        <v>1139</v>
      </c>
      <c r="B75" t="s">
        <v>1092</v>
      </c>
      <c r="C75" t="s">
        <v>205</v>
      </c>
      <c r="D75">
        <v>1456</v>
      </c>
      <c r="E75">
        <v>12584</v>
      </c>
      <c r="F75">
        <v>10701</v>
      </c>
      <c r="G75">
        <v>1577</v>
      </c>
      <c r="H75">
        <v>0</v>
      </c>
      <c r="I75">
        <v>44</v>
      </c>
      <c r="J75">
        <v>291</v>
      </c>
      <c r="K75">
        <v>261</v>
      </c>
      <c r="L75">
        <v>12919</v>
      </c>
      <c r="M75">
        <v>4306.3333333333303</v>
      </c>
    </row>
    <row r="76" spans="1:13" x14ac:dyDescent="0.2">
      <c r="A76" t="s">
        <v>1139</v>
      </c>
      <c r="B76" t="s">
        <v>1092</v>
      </c>
      <c r="C76" t="s">
        <v>205</v>
      </c>
      <c r="D76">
        <v>1456</v>
      </c>
      <c r="E76">
        <v>1451</v>
      </c>
      <c r="F76">
        <v>1425</v>
      </c>
      <c r="G76">
        <v>18</v>
      </c>
      <c r="H76">
        <v>0</v>
      </c>
      <c r="I76">
        <v>50</v>
      </c>
      <c r="J76">
        <v>150</v>
      </c>
      <c r="K76">
        <v>144</v>
      </c>
      <c r="L76">
        <v>1651</v>
      </c>
      <c r="M76">
        <v>550.33333333333303</v>
      </c>
    </row>
    <row r="77" spans="1:13" x14ac:dyDescent="0.2">
      <c r="A77" t="s">
        <v>1139</v>
      </c>
      <c r="B77" t="s">
        <v>1092</v>
      </c>
      <c r="C77" t="s">
        <v>205</v>
      </c>
      <c r="D77">
        <v>1456</v>
      </c>
      <c r="E77">
        <v>11742</v>
      </c>
      <c r="F77">
        <v>10667</v>
      </c>
      <c r="G77">
        <v>784</v>
      </c>
      <c r="H77">
        <v>0</v>
      </c>
      <c r="I77">
        <v>58</v>
      </c>
      <c r="J77">
        <v>236</v>
      </c>
      <c r="K77">
        <v>228</v>
      </c>
      <c r="L77">
        <v>12036</v>
      </c>
      <c r="M77">
        <v>4012</v>
      </c>
    </row>
    <row r="78" spans="1:13" x14ac:dyDescent="0.2">
      <c r="A78" t="s">
        <v>1139</v>
      </c>
      <c r="B78" t="s">
        <v>1092</v>
      </c>
      <c r="C78" t="s">
        <v>237</v>
      </c>
      <c r="D78">
        <v>1226</v>
      </c>
      <c r="E78">
        <v>4309</v>
      </c>
      <c r="F78">
        <v>3788</v>
      </c>
      <c r="G78">
        <v>399</v>
      </c>
      <c r="H78">
        <v>10</v>
      </c>
      <c r="I78">
        <v>12</v>
      </c>
      <c r="J78">
        <v>310</v>
      </c>
      <c r="K78">
        <v>283</v>
      </c>
      <c r="L78">
        <v>4631</v>
      </c>
      <c r="M78">
        <v>1543.6666666666699</v>
      </c>
    </row>
    <row r="79" spans="1:13" x14ac:dyDescent="0.2">
      <c r="A79" t="s">
        <v>1139</v>
      </c>
      <c r="B79" t="s">
        <v>1092</v>
      </c>
      <c r="C79" t="s">
        <v>237</v>
      </c>
      <c r="D79">
        <v>1226</v>
      </c>
      <c r="E79">
        <v>6447</v>
      </c>
      <c r="F79">
        <v>6111</v>
      </c>
      <c r="G79">
        <v>268</v>
      </c>
      <c r="H79">
        <v>19</v>
      </c>
      <c r="I79">
        <v>9</v>
      </c>
      <c r="J79">
        <v>296</v>
      </c>
      <c r="K79">
        <v>277</v>
      </c>
      <c r="L79">
        <v>6752</v>
      </c>
      <c r="M79">
        <v>2250.6666666666702</v>
      </c>
    </row>
    <row r="80" spans="1:13" x14ac:dyDescent="0.2">
      <c r="A80" t="s">
        <v>1139</v>
      </c>
      <c r="B80" t="s">
        <v>1092</v>
      </c>
      <c r="C80" t="s">
        <v>237</v>
      </c>
      <c r="D80">
        <v>1226</v>
      </c>
      <c r="E80">
        <v>4874</v>
      </c>
      <c r="F80">
        <v>4322</v>
      </c>
      <c r="G80">
        <v>398</v>
      </c>
      <c r="H80">
        <v>5</v>
      </c>
      <c r="I80">
        <v>15</v>
      </c>
      <c r="J80">
        <v>296</v>
      </c>
      <c r="K80">
        <v>284</v>
      </c>
      <c r="L80">
        <v>5185</v>
      </c>
      <c r="M80">
        <v>1728.3333333333301</v>
      </c>
    </row>
    <row r="81" spans="1:13" x14ac:dyDescent="0.2">
      <c r="A81" t="s">
        <v>1140</v>
      </c>
      <c r="B81" t="s">
        <v>1093</v>
      </c>
      <c r="C81" t="s">
        <v>193</v>
      </c>
      <c r="D81">
        <v>392</v>
      </c>
      <c r="E81">
        <v>667</v>
      </c>
      <c r="F81">
        <v>636</v>
      </c>
      <c r="G81">
        <v>16</v>
      </c>
      <c r="H81">
        <v>1</v>
      </c>
      <c r="I81">
        <v>12</v>
      </c>
      <c r="J81">
        <v>219</v>
      </c>
      <c r="K81">
        <v>204</v>
      </c>
      <c r="L81">
        <v>898</v>
      </c>
      <c r="M81">
        <v>299.33333333333297</v>
      </c>
    </row>
    <row r="82" spans="1:13" x14ac:dyDescent="0.2">
      <c r="A82" t="s">
        <v>1140</v>
      </c>
      <c r="B82" t="s">
        <v>1093</v>
      </c>
      <c r="C82" t="s">
        <v>193</v>
      </c>
      <c r="D82">
        <v>392</v>
      </c>
      <c r="E82">
        <v>3129</v>
      </c>
      <c r="F82">
        <v>3035</v>
      </c>
      <c r="G82">
        <v>98</v>
      </c>
      <c r="H82">
        <v>7</v>
      </c>
      <c r="I82">
        <v>24</v>
      </c>
      <c r="J82">
        <v>243</v>
      </c>
      <c r="K82">
        <v>222</v>
      </c>
      <c r="L82">
        <v>3396</v>
      </c>
      <c r="M82">
        <v>1132</v>
      </c>
    </row>
    <row r="83" spans="1:13" x14ac:dyDescent="0.2">
      <c r="A83" t="s">
        <v>1139</v>
      </c>
      <c r="B83" t="s">
        <v>1092</v>
      </c>
      <c r="C83" t="s">
        <v>1099</v>
      </c>
      <c r="D83">
        <v>1103</v>
      </c>
      <c r="E83">
        <v>5564</v>
      </c>
      <c r="F83">
        <v>5014</v>
      </c>
      <c r="G83">
        <v>506</v>
      </c>
      <c r="H83">
        <v>0</v>
      </c>
      <c r="I83">
        <v>738</v>
      </c>
      <c r="J83">
        <v>313</v>
      </c>
      <c r="K83">
        <v>285</v>
      </c>
      <c r="L83">
        <v>6615</v>
      </c>
      <c r="M83">
        <v>2205</v>
      </c>
    </row>
    <row r="84" spans="1:13" x14ac:dyDescent="0.2">
      <c r="A84" t="s">
        <v>1139</v>
      </c>
      <c r="B84" t="s">
        <v>1092</v>
      </c>
      <c r="C84" t="s">
        <v>1099</v>
      </c>
      <c r="D84">
        <v>1103</v>
      </c>
      <c r="E84">
        <v>6679</v>
      </c>
      <c r="F84">
        <v>6475</v>
      </c>
      <c r="G84">
        <v>194</v>
      </c>
      <c r="H84">
        <v>0</v>
      </c>
      <c r="I84">
        <v>606</v>
      </c>
      <c r="J84">
        <v>291</v>
      </c>
      <c r="K84">
        <v>274</v>
      </c>
      <c r="L84">
        <v>7576</v>
      </c>
      <c r="M84">
        <v>2525.3333333333298</v>
      </c>
    </row>
    <row r="85" spans="1:13" x14ac:dyDescent="0.2">
      <c r="A85" t="s">
        <v>1139</v>
      </c>
      <c r="B85" t="s">
        <v>1092</v>
      </c>
      <c r="C85" t="s">
        <v>1099</v>
      </c>
      <c r="D85">
        <v>1103</v>
      </c>
      <c r="E85">
        <v>5577</v>
      </c>
      <c r="F85">
        <v>5002</v>
      </c>
      <c r="G85">
        <v>465</v>
      </c>
      <c r="H85">
        <v>0</v>
      </c>
      <c r="I85">
        <v>696</v>
      </c>
      <c r="J85">
        <v>276</v>
      </c>
      <c r="K85">
        <v>266</v>
      </c>
      <c r="L85">
        <v>6549</v>
      </c>
      <c r="M85">
        <v>2183</v>
      </c>
    </row>
    <row r="86" spans="1:13" x14ac:dyDescent="0.2">
      <c r="A86" t="s">
        <v>1139</v>
      </c>
      <c r="B86" t="s">
        <v>1092</v>
      </c>
      <c r="C86" t="s">
        <v>1100</v>
      </c>
      <c r="D86">
        <v>1135</v>
      </c>
      <c r="E86">
        <v>2</v>
      </c>
      <c r="F86">
        <v>2</v>
      </c>
      <c r="G86">
        <v>0</v>
      </c>
      <c r="H86">
        <v>0</v>
      </c>
      <c r="I86">
        <v>714</v>
      </c>
      <c r="J86">
        <v>253</v>
      </c>
      <c r="K86">
        <v>228</v>
      </c>
      <c r="L86">
        <v>969</v>
      </c>
      <c r="M86">
        <v>323</v>
      </c>
    </row>
    <row r="87" spans="1:13" x14ac:dyDescent="0.2">
      <c r="A87" t="s">
        <v>1139</v>
      </c>
      <c r="B87" t="s">
        <v>1092</v>
      </c>
      <c r="C87" t="s">
        <v>1100</v>
      </c>
      <c r="D87">
        <v>1135</v>
      </c>
      <c r="E87">
        <v>46</v>
      </c>
      <c r="F87">
        <v>46</v>
      </c>
      <c r="G87">
        <v>1</v>
      </c>
      <c r="H87">
        <v>0</v>
      </c>
      <c r="I87">
        <v>576</v>
      </c>
      <c r="J87">
        <v>242</v>
      </c>
      <c r="K87">
        <v>227</v>
      </c>
      <c r="L87">
        <v>864</v>
      </c>
      <c r="M87">
        <v>288</v>
      </c>
    </row>
    <row r="88" spans="1:13" x14ac:dyDescent="0.2">
      <c r="A88" t="s">
        <v>1139</v>
      </c>
      <c r="B88" t="s">
        <v>1092</v>
      </c>
      <c r="C88" t="s">
        <v>1100</v>
      </c>
      <c r="D88">
        <v>1135</v>
      </c>
      <c r="E88">
        <v>2</v>
      </c>
      <c r="F88">
        <v>1</v>
      </c>
      <c r="G88">
        <v>0</v>
      </c>
      <c r="H88">
        <v>0</v>
      </c>
      <c r="I88">
        <v>702</v>
      </c>
      <c r="J88">
        <v>237</v>
      </c>
      <c r="K88">
        <v>229</v>
      </c>
      <c r="L88">
        <v>941</v>
      </c>
      <c r="M88">
        <v>313.66666666666703</v>
      </c>
    </row>
    <row r="89" spans="1:13" x14ac:dyDescent="0.2">
      <c r="A89" t="s">
        <v>1139</v>
      </c>
      <c r="B89" t="s">
        <v>1092</v>
      </c>
      <c r="C89" t="s">
        <v>201</v>
      </c>
      <c r="D89">
        <v>1880</v>
      </c>
      <c r="E89">
        <v>2055</v>
      </c>
      <c r="F89">
        <v>1994</v>
      </c>
      <c r="G89">
        <v>61</v>
      </c>
      <c r="H89">
        <v>0</v>
      </c>
      <c r="I89">
        <v>90</v>
      </c>
      <c r="J89">
        <v>212</v>
      </c>
      <c r="K89">
        <v>205</v>
      </c>
      <c r="L89">
        <v>2357</v>
      </c>
      <c r="M89">
        <v>785.66666666666697</v>
      </c>
    </row>
    <row r="90" spans="1:13" x14ac:dyDescent="0.2">
      <c r="A90" t="s">
        <v>1139</v>
      </c>
      <c r="B90" t="s">
        <v>1092</v>
      </c>
      <c r="C90" t="s">
        <v>201</v>
      </c>
      <c r="D90">
        <v>1880</v>
      </c>
      <c r="E90">
        <v>12</v>
      </c>
      <c r="F90">
        <v>12</v>
      </c>
      <c r="G90">
        <v>0</v>
      </c>
      <c r="H90">
        <v>0</v>
      </c>
      <c r="I90">
        <v>40</v>
      </c>
      <c r="J90">
        <v>3</v>
      </c>
      <c r="K90">
        <v>2</v>
      </c>
      <c r="L90">
        <v>55</v>
      </c>
      <c r="M90">
        <v>18.3333333333333</v>
      </c>
    </row>
    <row r="91" spans="1:13" x14ac:dyDescent="0.2">
      <c r="A91" t="s">
        <v>1140</v>
      </c>
      <c r="B91" t="s">
        <v>1093</v>
      </c>
      <c r="C91" t="s">
        <v>233</v>
      </c>
      <c r="D91">
        <v>607</v>
      </c>
      <c r="E91">
        <v>626</v>
      </c>
      <c r="F91">
        <v>551</v>
      </c>
      <c r="G91">
        <v>49</v>
      </c>
      <c r="H91">
        <v>0</v>
      </c>
      <c r="I91">
        <v>24</v>
      </c>
      <c r="J91">
        <v>343</v>
      </c>
      <c r="K91">
        <v>197</v>
      </c>
      <c r="L91">
        <v>993</v>
      </c>
      <c r="M91">
        <v>331</v>
      </c>
    </row>
    <row r="92" spans="1:13" x14ac:dyDescent="0.2">
      <c r="A92" t="s">
        <v>1140</v>
      </c>
      <c r="B92" t="s">
        <v>1093</v>
      </c>
      <c r="C92" t="s">
        <v>144</v>
      </c>
      <c r="D92">
        <v>699</v>
      </c>
      <c r="E92">
        <v>121</v>
      </c>
      <c r="F92">
        <v>115</v>
      </c>
      <c r="G92">
        <v>7</v>
      </c>
      <c r="H92">
        <v>0</v>
      </c>
      <c r="I92">
        <v>24</v>
      </c>
      <c r="J92">
        <v>310</v>
      </c>
      <c r="K92">
        <v>189</v>
      </c>
      <c r="L92">
        <v>455</v>
      </c>
      <c r="M92">
        <v>151.666666666667</v>
      </c>
    </row>
    <row r="93" spans="1:13" x14ac:dyDescent="0.2">
      <c r="A93" t="s">
        <v>1139</v>
      </c>
      <c r="B93" t="s">
        <v>1092</v>
      </c>
      <c r="C93" t="s">
        <v>1101</v>
      </c>
      <c r="D93">
        <v>1977</v>
      </c>
      <c r="E93">
        <v>19121</v>
      </c>
      <c r="F93">
        <v>16447</v>
      </c>
      <c r="G93">
        <v>2247</v>
      </c>
      <c r="H93">
        <v>0</v>
      </c>
      <c r="I93">
        <v>132</v>
      </c>
      <c r="J93">
        <v>419</v>
      </c>
      <c r="K93">
        <v>385</v>
      </c>
      <c r="L93">
        <v>19672</v>
      </c>
      <c r="M93">
        <v>6557.3333333333303</v>
      </c>
    </row>
    <row r="94" spans="1:13" x14ac:dyDescent="0.2">
      <c r="A94" t="s">
        <v>1139</v>
      </c>
      <c r="B94" t="s">
        <v>1092</v>
      </c>
      <c r="C94" t="s">
        <v>1101</v>
      </c>
      <c r="D94">
        <v>1977</v>
      </c>
      <c r="E94">
        <v>13637</v>
      </c>
      <c r="F94">
        <v>13111</v>
      </c>
      <c r="G94">
        <v>441</v>
      </c>
      <c r="H94">
        <v>0</v>
      </c>
      <c r="I94">
        <v>108</v>
      </c>
      <c r="J94">
        <v>381</v>
      </c>
      <c r="K94">
        <v>362</v>
      </c>
      <c r="L94">
        <v>14126</v>
      </c>
      <c r="M94">
        <v>4708.6666666666697</v>
      </c>
    </row>
    <row r="95" spans="1:13" x14ac:dyDescent="0.2">
      <c r="A95" t="s">
        <v>1139</v>
      </c>
      <c r="B95" t="s">
        <v>1092</v>
      </c>
      <c r="C95" t="s">
        <v>1101</v>
      </c>
      <c r="D95">
        <v>1977</v>
      </c>
      <c r="E95">
        <v>19355</v>
      </c>
      <c r="F95">
        <v>17339</v>
      </c>
      <c r="G95">
        <v>1466</v>
      </c>
      <c r="H95">
        <v>0</v>
      </c>
      <c r="I95">
        <v>138</v>
      </c>
      <c r="J95">
        <v>366</v>
      </c>
      <c r="K95">
        <v>352</v>
      </c>
      <c r="L95">
        <v>19859</v>
      </c>
      <c r="M95">
        <v>6619.6666666666697</v>
      </c>
    </row>
    <row r="96" spans="1:13" x14ac:dyDescent="0.2">
      <c r="A96" t="s">
        <v>1139</v>
      </c>
      <c r="B96" t="s">
        <v>1092</v>
      </c>
      <c r="C96" t="s">
        <v>1102</v>
      </c>
      <c r="D96">
        <v>1978</v>
      </c>
      <c r="E96">
        <v>327</v>
      </c>
      <c r="F96">
        <v>296</v>
      </c>
      <c r="G96">
        <v>9</v>
      </c>
      <c r="H96">
        <v>0</v>
      </c>
      <c r="I96">
        <v>0</v>
      </c>
      <c r="J96">
        <v>339</v>
      </c>
      <c r="K96">
        <v>316</v>
      </c>
      <c r="L96">
        <v>666</v>
      </c>
      <c r="M96">
        <v>222</v>
      </c>
    </row>
    <row r="97" spans="1:13" x14ac:dyDescent="0.2">
      <c r="A97" t="s">
        <v>1139</v>
      </c>
      <c r="B97" t="s">
        <v>1092</v>
      </c>
      <c r="C97" t="s">
        <v>1102</v>
      </c>
      <c r="D97">
        <v>1978</v>
      </c>
      <c r="E97">
        <v>5882</v>
      </c>
      <c r="F97">
        <v>5656</v>
      </c>
      <c r="G97">
        <v>228</v>
      </c>
      <c r="H97">
        <v>0</v>
      </c>
      <c r="I97">
        <v>0</v>
      </c>
      <c r="J97">
        <v>306</v>
      </c>
      <c r="K97">
        <v>294</v>
      </c>
      <c r="L97">
        <v>6188</v>
      </c>
      <c r="M97">
        <v>2062.6666666666702</v>
      </c>
    </row>
    <row r="98" spans="1:13" x14ac:dyDescent="0.2">
      <c r="A98" t="s">
        <v>1139</v>
      </c>
      <c r="B98" t="s">
        <v>1092</v>
      </c>
      <c r="C98" t="s">
        <v>1102</v>
      </c>
      <c r="D98">
        <v>1978</v>
      </c>
      <c r="E98">
        <v>81</v>
      </c>
      <c r="F98">
        <v>64</v>
      </c>
      <c r="G98">
        <v>16</v>
      </c>
      <c r="H98">
        <v>0</v>
      </c>
      <c r="I98">
        <v>0</v>
      </c>
      <c r="J98">
        <v>325</v>
      </c>
      <c r="K98">
        <v>311</v>
      </c>
      <c r="L98">
        <v>406</v>
      </c>
      <c r="M98">
        <v>135.333333333333</v>
      </c>
    </row>
    <row r="99" spans="1:13" x14ac:dyDescent="0.2">
      <c r="A99" t="s">
        <v>1139</v>
      </c>
      <c r="B99" t="s">
        <v>1092</v>
      </c>
      <c r="C99" t="s">
        <v>456</v>
      </c>
      <c r="D99">
        <v>1974</v>
      </c>
      <c r="E99">
        <v>6876</v>
      </c>
      <c r="F99">
        <v>6068</v>
      </c>
      <c r="G99">
        <v>804</v>
      </c>
      <c r="H99">
        <v>205</v>
      </c>
      <c r="I99">
        <v>378</v>
      </c>
      <c r="J99">
        <v>326</v>
      </c>
      <c r="K99">
        <v>299</v>
      </c>
      <c r="L99">
        <v>7580</v>
      </c>
      <c r="M99">
        <v>2526.6666666666702</v>
      </c>
    </row>
    <row r="100" spans="1:13" x14ac:dyDescent="0.2">
      <c r="A100" t="s">
        <v>1139</v>
      </c>
      <c r="B100" t="s">
        <v>1092</v>
      </c>
      <c r="C100" t="s">
        <v>456</v>
      </c>
      <c r="D100">
        <v>1974</v>
      </c>
      <c r="E100">
        <v>11202</v>
      </c>
      <c r="F100">
        <v>10849</v>
      </c>
      <c r="G100">
        <v>1091</v>
      </c>
      <c r="H100">
        <v>822</v>
      </c>
      <c r="I100">
        <v>238</v>
      </c>
      <c r="J100">
        <v>295</v>
      </c>
      <c r="K100">
        <v>264</v>
      </c>
      <c r="L100">
        <v>11735</v>
      </c>
      <c r="M100">
        <v>3911.6666666666702</v>
      </c>
    </row>
    <row r="101" spans="1:13" x14ac:dyDescent="0.2">
      <c r="A101" t="s">
        <v>1139</v>
      </c>
      <c r="B101" t="s">
        <v>1092</v>
      </c>
      <c r="C101" t="s">
        <v>456</v>
      </c>
      <c r="D101">
        <v>1974</v>
      </c>
      <c r="E101">
        <v>7399</v>
      </c>
      <c r="F101">
        <v>6667</v>
      </c>
      <c r="G101">
        <v>771</v>
      </c>
      <c r="H101">
        <v>283</v>
      </c>
      <c r="I101">
        <v>378</v>
      </c>
      <c r="J101">
        <v>315</v>
      </c>
      <c r="K101">
        <v>302</v>
      </c>
      <c r="L101">
        <v>8092</v>
      </c>
      <c r="M101">
        <v>2697.3333333333298</v>
      </c>
    </row>
    <row r="102" spans="1:13" x14ac:dyDescent="0.2">
      <c r="A102" t="s">
        <v>1140</v>
      </c>
      <c r="B102" t="s">
        <v>1093</v>
      </c>
      <c r="C102" t="s">
        <v>181</v>
      </c>
      <c r="D102">
        <v>416</v>
      </c>
      <c r="E102">
        <v>69</v>
      </c>
      <c r="F102">
        <v>69</v>
      </c>
      <c r="G102">
        <v>2</v>
      </c>
      <c r="H102">
        <v>0</v>
      </c>
      <c r="I102">
        <v>12</v>
      </c>
      <c r="J102">
        <v>84</v>
      </c>
      <c r="K102">
        <v>83</v>
      </c>
      <c r="L102">
        <v>165</v>
      </c>
      <c r="M102">
        <v>55</v>
      </c>
    </row>
    <row r="103" spans="1:13" x14ac:dyDescent="0.2">
      <c r="A103" t="s">
        <v>1140</v>
      </c>
      <c r="B103" t="s">
        <v>1093</v>
      </c>
      <c r="C103" t="s">
        <v>247</v>
      </c>
      <c r="D103">
        <v>826</v>
      </c>
      <c r="E103">
        <v>232</v>
      </c>
      <c r="F103">
        <v>194</v>
      </c>
      <c r="G103">
        <v>24</v>
      </c>
      <c r="H103">
        <v>0</v>
      </c>
      <c r="I103">
        <v>0</v>
      </c>
      <c r="J103">
        <v>309</v>
      </c>
      <c r="K103">
        <v>171</v>
      </c>
      <c r="L103">
        <v>541</v>
      </c>
      <c r="M103">
        <v>180.333333333333</v>
      </c>
    </row>
    <row r="104" spans="1:13" x14ac:dyDescent="0.2">
      <c r="A104" t="s">
        <v>1139</v>
      </c>
      <c r="B104" t="s">
        <v>1092</v>
      </c>
      <c r="C104" t="s">
        <v>251</v>
      </c>
      <c r="D104">
        <v>1982</v>
      </c>
      <c r="E104">
        <v>492</v>
      </c>
      <c r="F104">
        <v>476</v>
      </c>
      <c r="G104">
        <v>28</v>
      </c>
      <c r="H104">
        <v>0</v>
      </c>
      <c r="I104">
        <v>144</v>
      </c>
      <c r="J104">
        <v>263</v>
      </c>
      <c r="K104">
        <v>258</v>
      </c>
      <c r="L104">
        <v>899</v>
      </c>
      <c r="M104">
        <v>299.66666666666703</v>
      </c>
    </row>
    <row r="105" spans="1:13" x14ac:dyDescent="0.2">
      <c r="A105" t="s">
        <v>1139</v>
      </c>
      <c r="B105" t="s">
        <v>1092</v>
      </c>
      <c r="C105" t="s">
        <v>251</v>
      </c>
      <c r="D105">
        <v>1982</v>
      </c>
      <c r="E105">
        <v>836</v>
      </c>
      <c r="F105">
        <v>763</v>
      </c>
      <c r="G105">
        <v>61</v>
      </c>
      <c r="H105">
        <v>0</v>
      </c>
      <c r="I105">
        <v>150</v>
      </c>
      <c r="J105">
        <v>246</v>
      </c>
      <c r="K105">
        <v>240</v>
      </c>
      <c r="L105">
        <v>1232</v>
      </c>
      <c r="M105">
        <v>410.66666666666703</v>
      </c>
    </row>
    <row r="106" spans="1:13" x14ac:dyDescent="0.2">
      <c r="A106" t="s">
        <v>1139</v>
      </c>
      <c r="B106" t="s">
        <v>1092</v>
      </c>
      <c r="C106" t="s">
        <v>255</v>
      </c>
      <c r="D106">
        <v>1837</v>
      </c>
      <c r="E106">
        <v>83</v>
      </c>
      <c r="F106">
        <v>78</v>
      </c>
      <c r="G106">
        <v>8</v>
      </c>
      <c r="H106">
        <v>3</v>
      </c>
      <c r="I106">
        <v>36</v>
      </c>
      <c r="J106">
        <v>216</v>
      </c>
      <c r="K106">
        <v>199</v>
      </c>
      <c r="L106">
        <v>335</v>
      </c>
      <c r="M106">
        <v>111.666666666667</v>
      </c>
    </row>
    <row r="107" spans="1:13" x14ac:dyDescent="0.2">
      <c r="A107" t="s">
        <v>1139</v>
      </c>
      <c r="B107" t="s">
        <v>1092</v>
      </c>
      <c r="C107" t="s">
        <v>255</v>
      </c>
      <c r="D107">
        <v>1837</v>
      </c>
      <c r="E107">
        <v>0</v>
      </c>
      <c r="F107">
        <v>0</v>
      </c>
      <c r="G107">
        <v>0</v>
      </c>
      <c r="H107">
        <v>0</v>
      </c>
      <c r="I107">
        <v>12</v>
      </c>
      <c r="J107">
        <v>2</v>
      </c>
      <c r="K107">
        <v>2</v>
      </c>
      <c r="L107">
        <v>14</v>
      </c>
      <c r="M107">
        <v>4.6666666666666696</v>
      </c>
    </row>
    <row r="108" spans="1:13" x14ac:dyDescent="0.2">
      <c r="A108" t="s">
        <v>1139</v>
      </c>
      <c r="B108" t="s">
        <v>1092</v>
      </c>
      <c r="C108" t="s">
        <v>215</v>
      </c>
      <c r="D108">
        <v>1840</v>
      </c>
      <c r="E108">
        <v>4855</v>
      </c>
      <c r="F108">
        <v>4143</v>
      </c>
      <c r="G108">
        <v>597</v>
      </c>
      <c r="H108">
        <v>0</v>
      </c>
      <c r="I108">
        <v>30</v>
      </c>
      <c r="J108">
        <v>299</v>
      </c>
      <c r="K108">
        <v>267</v>
      </c>
      <c r="L108">
        <v>5184</v>
      </c>
      <c r="M108">
        <v>1728</v>
      </c>
    </row>
    <row r="109" spans="1:13" x14ac:dyDescent="0.2">
      <c r="A109" t="s">
        <v>1139</v>
      </c>
      <c r="B109" t="s">
        <v>1092</v>
      </c>
      <c r="C109" t="s">
        <v>215</v>
      </c>
      <c r="D109">
        <v>1840</v>
      </c>
      <c r="E109">
        <v>354</v>
      </c>
      <c r="F109">
        <v>348</v>
      </c>
      <c r="G109">
        <v>3</v>
      </c>
      <c r="H109">
        <v>0</v>
      </c>
      <c r="I109">
        <v>18</v>
      </c>
      <c r="J109">
        <v>123</v>
      </c>
      <c r="K109">
        <v>116</v>
      </c>
      <c r="L109">
        <v>495</v>
      </c>
      <c r="M109">
        <v>165</v>
      </c>
    </row>
    <row r="110" spans="1:13" x14ac:dyDescent="0.2">
      <c r="A110" t="s">
        <v>1139</v>
      </c>
      <c r="B110" t="s">
        <v>1092</v>
      </c>
      <c r="C110" t="s">
        <v>215</v>
      </c>
      <c r="D110">
        <v>1840</v>
      </c>
      <c r="E110">
        <v>4546</v>
      </c>
      <c r="F110">
        <v>4089</v>
      </c>
      <c r="G110">
        <v>332</v>
      </c>
      <c r="H110">
        <v>0</v>
      </c>
      <c r="I110">
        <v>30</v>
      </c>
      <c r="J110">
        <v>253</v>
      </c>
      <c r="K110">
        <v>240</v>
      </c>
      <c r="L110">
        <v>4829</v>
      </c>
      <c r="M110">
        <v>1609.6666666666699</v>
      </c>
    </row>
    <row r="111" spans="1:13" x14ac:dyDescent="0.2">
      <c r="A111" t="s">
        <v>1139</v>
      </c>
      <c r="B111" t="s">
        <v>1092</v>
      </c>
      <c r="C111" t="s">
        <v>260</v>
      </c>
      <c r="D111">
        <v>1861</v>
      </c>
      <c r="E111">
        <v>20</v>
      </c>
      <c r="F111">
        <v>20</v>
      </c>
      <c r="G111">
        <v>0</v>
      </c>
      <c r="H111">
        <v>0</v>
      </c>
      <c r="I111">
        <v>80</v>
      </c>
      <c r="J111">
        <v>190</v>
      </c>
      <c r="K111">
        <v>184</v>
      </c>
      <c r="L111">
        <v>290</v>
      </c>
      <c r="M111">
        <v>96.6666666666667</v>
      </c>
    </row>
    <row r="112" spans="1:13" x14ac:dyDescent="0.2">
      <c r="A112" t="s">
        <v>1139</v>
      </c>
      <c r="B112" t="s">
        <v>1092</v>
      </c>
      <c r="C112" t="s">
        <v>260</v>
      </c>
      <c r="D112">
        <v>1861</v>
      </c>
      <c r="E112">
        <v>0</v>
      </c>
      <c r="F112">
        <v>0</v>
      </c>
      <c r="G112">
        <v>0</v>
      </c>
      <c r="H112">
        <v>0</v>
      </c>
      <c r="I112">
        <v>10</v>
      </c>
      <c r="J112">
        <v>3</v>
      </c>
      <c r="K112">
        <v>3</v>
      </c>
      <c r="L112">
        <v>13</v>
      </c>
      <c r="M112">
        <v>4.3333333333333304</v>
      </c>
    </row>
    <row r="113" spans="1:13" x14ac:dyDescent="0.2">
      <c r="A113" t="s">
        <v>1140</v>
      </c>
      <c r="B113" t="s">
        <v>1093</v>
      </c>
      <c r="C113" t="s">
        <v>264</v>
      </c>
      <c r="D113">
        <v>488</v>
      </c>
      <c r="E113">
        <v>507</v>
      </c>
      <c r="F113">
        <v>456</v>
      </c>
      <c r="G113">
        <v>32</v>
      </c>
      <c r="H113">
        <v>3</v>
      </c>
      <c r="I113">
        <v>24</v>
      </c>
      <c r="J113">
        <v>293</v>
      </c>
      <c r="K113">
        <v>215</v>
      </c>
      <c r="L113">
        <v>824</v>
      </c>
      <c r="M113">
        <v>274.66666666666703</v>
      </c>
    </row>
    <row r="114" spans="1:13" x14ac:dyDescent="0.2">
      <c r="A114" t="s">
        <v>1139</v>
      </c>
      <c r="B114" t="s">
        <v>1092</v>
      </c>
      <c r="C114" t="s">
        <v>41</v>
      </c>
      <c r="D114">
        <v>1847</v>
      </c>
      <c r="E114">
        <v>327</v>
      </c>
      <c r="F114">
        <v>323</v>
      </c>
      <c r="G114">
        <v>4</v>
      </c>
      <c r="H114">
        <v>0</v>
      </c>
      <c r="I114">
        <v>60</v>
      </c>
      <c r="J114">
        <v>300</v>
      </c>
      <c r="K114">
        <v>287</v>
      </c>
      <c r="L114">
        <v>687</v>
      </c>
      <c r="M114">
        <v>229</v>
      </c>
    </row>
    <row r="115" spans="1:13" x14ac:dyDescent="0.2">
      <c r="A115" t="s">
        <v>1139</v>
      </c>
      <c r="B115" t="s">
        <v>1092</v>
      </c>
      <c r="C115" t="s">
        <v>41</v>
      </c>
      <c r="D115">
        <v>1847</v>
      </c>
      <c r="E115">
        <v>4</v>
      </c>
      <c r="F115">
        <v>4</v>
      </c>
      <c r="G115">
        <v>0</v>
      </c>
      <c r="H115">
        <v>0</v>
      </c>
      <c r="I115">
        <v>8</v>
      </c>
      <c r="J115">
        <v>19</v>
      </c>
      <c r="K115">
        <v>18</v>
      </c>
      <c r="L115">
        <v>31</v>
      </c>
      <c r="M115">
        <v>10.3333333333333</v>
      </c>
    </row>
    <row r="116" spans="1:13" x14ac:dyDescent="0.2">
      <c r="A116" t="s">
        <v>1140</v>
      </c>
      <c r="B116" t="s">
        <v>1093</v>
      </c>
      <c r="C116" t="s">
        <v>285</v>
      </c>
      <c r="D116">
        <v>68</v>
      </c>
      <c r="E116">
        <v>7477</v>
      </c>
      <c r="F116">
        <v>6476</v>
      </c>
      <c r="G116">
        <v>695</v>
      </c>
      <c r="H116">
        <v>125</v>
      </c>
      <c r="I116">
        <v>8</v>
      </c>
      <c r="J116">
        <v>364</v>
      </c>
      <c r="K116">
        <v>248</v>
      </c>
      <c r="L116">
        <v>7849</v>
      </c>
      <c r="M116">
        <v>2616.3333333333298</v>
      </c>
    </row>
    <row r="117" spans="1:13" x14ac:dyDescent="0.2">
      <c r="A117" t="s">
        <v>1140</v>
      </c>
      <c r="B117" t="s">
        <v>1093</v>
      </c>
      <c r="C117" t="s">
        <v>285</v>
      </c>
      <c r="D117">
        <v>68</v>
      </c>
      <c r="E117">
        <v>5743</v>
      </c>
      <c r="F117">
        <v>5044</v>
      </c>
      <c r="G117">
        <v>527</v>
      </c>
      <c r="H117">
        <v>100</v>
      </c>
      <c r="I117">
        <v>16</v>
      </c>
      <c r="J117">
        <v>326</v>
      </c>
      <c r="K117">
        <v>261</v>
      </c>
      <c r="L117">
        <v>6085</v>
      </c>
      <c r="M117">
        <v>2028.3333333333301</v>
      </c>
    </row>
    <row r="118" spans="1:13" x14ac:dyDescent="0.2">
      <c r="A118" t="s">
        <v>1140</v>
      </c>
      <c r="B118" t="s">
        <v>1093</v>
      </c>
      <c r="C118" t="s">
        <v>285</v>
      </c>
      <c r="D118">
        <v>68</v>
      </c>
      <c r="E118">
        <v>2264</v>
      </c>
      <c r="F118">
        <v>2094</v>
      </c>
      <c r="G118">
        <v>239</v>
      </c>
      <c r="H118">
        <v>155</v>
      </c>
      <c r="I118">
        <v>16</v>
      </c>
      <c r="J118">
        <v>224</v>
      </c>
      <c r="K118">
        <v>203</v>
      </c>
      <c r="L118">
        <v>2504</v>
      </c>
      <c r="M118">
        <v>834.66666666666697</v>
      </c>
    </row>
    <row r="119" spans="1:13" x14ac:dyDescent="0.2">
      <c r="A119" t="s">
        <v>1140</v>
      </c>
      <c r="B119" t="s">
        <v>1093</v>
      </c>
      <c r="C119" t="s">
        <v>290</v>
      </c>
      <c r="D119">
        <v>66</v>
      </c>
      <c r="E119">
        <v>2277</v>
      </c>
      <c r="F119">
        <v>1960</v>
      </c>
      <c r="G119">
        <v>237</v>
      </c>
      <c r="H119">
        <v>96</v>
      </c>
      <c r="I119">
        <v>12</v>
      </c>
      <c r="J119">
        <v>269</v>
      </c>
      <c r="K119">
        <v>238</v>
      </c>
      <c r="L119">
        <v>2558</v>
      </c>
      <c r="M119">
        <v>852.66666666666697</v>
      </c>
    </row>
    <row r="120" spans="1:13" x14ac:dyDescent="0.2">
      <c r="A120" t="s">
        <v>1140</v>
      </c>
      <c r="B120" t="s">
        <v>1093</v>
      </c>
      <c r="C120" t="s">
        <v>290</v>
      </c>
      <c r="D120">
        <v>66</v>
      </c>
      <c r="E120">
        <v>2171</v>
      </c>
      <c r="F120">
        <v>1859</v>
      </c>
      <c r="G120">
        <v>325</v>
      </c>
      <c r="H120">
        <v>147</v>
      </c>
      <c r="I120">
        <v>48</v>
      </c>
      <c r="J120">
        <v>315</v>
      </c>
      <c r="K120">
        <v>267</v>
      </c>
      <c r="L120">
        <v>2534</v>
      </c>
      <c r="M120">
        <v>844.66666666666697</v>
      </c>
    </row>
    <row r="121" spans="1:13" x14ac:dyDescent="0.2">
      <c r="A121" t="s">
        <v>1140</v>
      </c>
      <c r="B121" t="s">
        <v>1093</v>
      </c>
      <c r="C121" t="s">
        <v>290</v>
      </c>
      <c r="D121">
        <v>66</v>
      </c>
      <c r="E121">
        <v>412</v>
      </c>
      <c r="F121">
        <v>395</v>
      </c>
      <c r="G121">
        <v>33</v>
      </c>
      <c r="H121">
        <v>30</v>
      </c>
      <c r="I121">
        <v>36</v>
      </c>
      <c r="J121">
        <v>197</v>
      </c>
      <c r="K121">
        <v>186</v>
      </c>
      <c r="L121">
        <v>645</v>
      </c>
      <c r="M121">
        <v>215</v>
      </c>
    </row>
    <row r="122" spans="1:13" x14ac:dyDescent="0.2">
      <c r="A122" t="s">
        <v>1140</v>
      </c>
      <c r="B122" t="s">
        <v>1093</v>
      </c>
      <c r="C122" t="s">
        <v>475</v>
      </c>
      <c r="D122">
        <v>358</v>
      </c>
      <c r="E122">
        <v>1247</v>
      </c>
      <c r="F122">
        <v>1197</v>
      </c>
      <c r="G122">
        <v>23</v>
      </c>
      <c r="H122">
        <v>0</v>
      </c>
      <c r="I122">
        <v>0</v>
      </c>
      <c r="J122">
        <v>233</v>
      </c>
      <c r="K122">
        <v>196</v>
      </c>
      <c r="L122">
        <v>1480</v>
      </c>
      <c r="M122">
        <v>493.33333333333297</v>
      </c>
    </row>
    <row r="123" spans="1:13" x14ac:dyDescent="0.2">
      <c r="A123" t="s">
        <v>1140</v>
      </c>
      <c r="B123" t="s">
        <v>1093</v>
      </c>
      <c r="C123" t="s">
        <v>475</v>
      </c>
      <c r="D123">
        <v>358</v>
      </c>
      <c r="E123">
        <v>1186</v>
      </c>
      <c r="F123">
        <v>1113</v>
      </c>
      <c r="G123">
        <v>40</v>
      </c>
      <c r="H123">
        <v>0</v>
      </c>
      <c r="I123">
        <v>0</v>
      </c>
      <c r="J123">
        <v>245</v>
      </c>
      <c r="K123">
        <v>214</v>
      </c>
      <c r="L123">
        <v>1431</v>
      </c>
      <c r="M123">
        <v>477</v>
      </c>
    </row>
    <row r="124" spans="1:13" x14ac:dyDescent="0.2">
      <c r="A124" t="s">
        <v>1140</v>
      </c>
      <c r="B124" t="s">
        <v>1093</v>
      </c>
      <c r="C124" t="s">
        <v>307</v>
      </c>
      <c r="D124">
        <v>97</v>
      </c>
      <c r="E124">
        <v>4006</v>
      </c>
      <c r="F124">
        <v>3534</v>
      </c>
      <c r="G124">
        <v>323</v>
      </c>
      <c r="H124">
        <v>0</v>
      </c>
      <c r="I124">
        <v>24</v>
      </c>
      <c r="J124">
        <v>297</v>
      </c>
      <c r="K124">
        <v>242</v>
      </c>
      <c r="L124">
        <v>4327</v>
      </c>
      <c r="M124">
        <v>1442.3333333333301</v>
      </c>
    </row>
    <row r="125" spans="1:13" x14ac:dyDescent="0.2">
      <c r="A125" t="s">
        <v>1140</v>
      </c>
      <c r="B125" t="s">
        <v>1093</v>
      </c>
      <c r="C125" t="s">
        <v>307</v>
      </c>
      <c r="D125">
        <v>97</v>
      </c>
      <c r="E125">
        <v>3639</v>
      </c>
      <c r="F125">
        <v>3215</v>
      </c>
      <c r="G125">
        <v>279</v>
      </c>
      <c r="H125">
        <v>0</v>
      </c>
      <c r="I125">
        <v>24</v>
      </c>
      <c r="J125">
        <v>280</v>
      </c>
      <c r="K125">
        <v>244</v>
      </c>
      <c r="L125">
        <v>3943</v>
      </c>
      <c r="M125">
        <v>1314.3333333333301</v>
      </c>
    </row>
    <row r="126" spans="1:13" x14ac:dyDescent="0.2">
      <c r="A126" t="s">
        <v>1140</v>
      </c>
      <c r="B126" t="s">
        <v>1093</v>
      </c>
      <c r="C126" t="s">
        <v>307</v>
      </c>
      <c r="D126">
        <v>97</v>
      </c>
      <c r="E126">
        <v>413</v>
      </c>
      <c r="F126">
        <v>406</v>
      </c>
      <c r="G126">
        <v>9</v>
      </c>
      <c r="H126">
        <v>0</v>
      </c>
      <c r="I126">
        <v>24</v>
      </c>
      <c r="J126">
        <v>157</v>
      </c>
      <c r="K126">
        <v>144</v>
      </c>
      <c r="L126">
        <v>594</v>
      </c>
      <c r="M126">
        <v>198</v>
      </c>
    </row>
    <row r="127" spans="1:13" x14ac:dyDescent="0.2">
      <c r="A127" t="s">
        <v>1140</v>
      </c>
      <c r="B127" t="s">
        <v>1093</v>
      </c>
      <c r="C127" t="s">
        <v>311</v>
      </c>
      <c r="D127">
        <v>106</v>
      </c>
      <c r="E127">
        <v>5050</v>
      </c>
      <c r="F127">
        <v>4493</v>
      </c>
      <c r="G127">
        <v>431</v>
      </c>
      <c r="H127">
        <v>0</v>
      </c>
      <c r="I127">
        <v>24</v>
      </c>
      <c r="J127">
        <v>302</v>
      </c>
      <c r="K127">
        <v>198</v>
      </c>
      <c r="L127">
        <v>5376</v>
      </c>
      <c r="M127">
        <v>1792</v>
      </c>
    </row>
    <row r="128" spans="1:13" x14ac:dyDescent="0.2">
      <c r="A128" t="s">
        <v>1140</v>
      </c>
      <c r="B128" t="s">
        <v>1093</v>
      </c>
      <c r="C128" t="s">
        <v>311</v>
      </c>
      <c r="D128">
        <v>106</v>
      </c>
      <c r="E128">
        <v>4797</v>
      </c>
      <c r="F128">
        <v>4167</v>
      </c>
      <c r="G128">
        <v>369</v>
      </c>
      <c r="H128">
        <v>0</v>
      </c>
      <c r="I128">
        <v>12</v>
      </c>
      <c r="J128">
        <v>309</v>
      </c>
      <c r="K128">
        <v>245</v>
      </c>
      <c r="L128">
        <v>5118</v>
      </c>
      <c r="M128">
        <v>1706</v>
      </c>
    </row>
    <row r="129" spans="1:13" x14ac:dyDescent="0.2">
      <c r="A129" t="s">
        <v>1140</v>
      </c>
      <c r="B129" t="s">
        <v>1093</v>
      </c>
      <c r="C129" t="s">
        <v>311</v>
      </c>
      <c r="D129">
        <v>106</v>
      </c>
      <c r="E129">
        <v>548</v>
      </c>
      <c r="F129">
        <v>540</v>
      </c>
      <c r="G129">
        <v>9</v>
      </c>
      <c r="H129">
        <v>0</v>
      </c>
      <c r="I129">
        <v>24</v>
      </c>
      <c r="J129">
        <v>162</v>
      </c>
      <c r="K129">
        <v>143</v>
      </c>
      <c r="L129">
        <v>734</v>
      </c>
      <c r="M129">
        <v>244.666666666667</v>
      </c>
    </row>
    <row r="130" spans="1:13" x14ac:dyDescent="0.2">
      <c r="A130" t="s">
        <v>1140</v>
      </c>
      <c r="B130" t="s">
        <v>1093</v>
      </c>
      <c r="C130" t="s">
        <v>303</v>
      </c>
      <c r="D130">
        <v>88</v>
      </c>
      <c r="E130">
        <v>661</v>
      </c>
      <c r="F130">
        <v>586</v>
      </c>
      <c r="G130">
        <v>45</v>
      </c>
      <c r="H130">
        <v>3</v>
      </c>
      <c r="I130">
        <v>4</v>
      </c>
      <c r="J130">
        <v>296</v>
      </c>
      <c r="K130">
        <v>255</v>
      </c>
      <c r="L130">
        <v>961</v>
      </c>
      <c r="M130">
        <v>320.33333333333297</v>
      </c>
    </row>
    <row r="131" spans="1:13" x14ac:dyDescent="0.2">
      <c r="A131" t="s">
        <v>1139</v>
      </c>
      <c r="B131" t="s">
        <v>1092</v>
      </c>
      <c r="C131" t="s">
        <v>1103</v>
      </c>
      <c r="D131">
        <v>2243</v>
      </c>
      <c r="E131">
        <v>77</v>
      </c>
      <c r="F131">
        <v>63</v>
      </c>
      <c r="G131">
        <v>2</v>
      </c>
      <c r="H131">
        <v>0</v>
      </c>
      <c r="I131">
        <v>0</v>
      </c>
      <c r="J131">
        <v>22</v>
      </c>
      <c r="K131">
        <v>21</v>
      </c>
      <c r="L131">
        <v>99</v>
      </c>
      <c r="M131">
        <v>33</v>
      </c>
    </row>
    <row r="132" spans="1:13" x14ac:dyDescent="0.2">
      <c r="A132" t="s">
        <v>1139</v>
      </c>
      <c r="B132" t="s">
        <v>1092</v>
      </c>
      <c r="C132" t="s">
        <v>1104</v>
      </c>
      <c r="D132">
        <v>2244</v>
      </c>
      <c r="E132">
        <v>78</v>
      </c>
      <c r="F132">
        <v>63</v>
      </c>
      <c r="G132">
        <v>3</v>
      </c>
      <c r="H132">
        <v>0</v>
      </c>
      <c r="I132">
        <v>0</v>
      </c>
      <c r="J132">
        <v>22</v>
      </c>
      <c r="K132">
        <v>21</v>
      </c>
      <c r="L132">
        <v>100</v>
      </c>
      <c r="M132">
        <v>33.3333333333333</v>
      </c>
    </row>
    <row r="133" spans="1:13" x14ac:dyDescent="0.2">
      <c r="A133" t="s">
        <v>1139</v>
      </c>
      <c r="B133" t="s">
        <v>1092</v>
      </c>
      <c r="C133" t="s">
        <v>1105</v>
      </c>
      <c r="D133">
        <v>2004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22</v>
      </c>
      <c r="K133">
        <v>20</v>
      </c>
      <c r="L133">
        <v>22</v>
      </c>
      <c r="M133">
        <v>7.3333333333333304</v>
      </c>
    </row>
    <row r="134" spans="1:13" x14ac:dyDescent="0.2">
      <c r="A134" t="s">
        <v>1139</v>
      </c>
      <c r="B134" t="s">
        <v>1092</v>
      </c>
      <c r="C134" t="s">
        <v>1106</v>
      </c>
      <c r="D134">
        <v>1867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3</v>
      </c>
      <c r="K134">
        <v>0</v>
      </c>
      <c r="L134">
        <v>3</v>
      </c>
      <c r="M134">
        <v>1</v>
      </c>
    </row>
    <row r="135" spans="1:13" x14ac:dyDescent="0.2">
      <c r="A135" t="s">
        <v>1139</v>
      </c>
      <c r="B135" t="s">
        <v>1092</v>
      </c>
      <c r="C135" t="s">
        <v>324</v>
      </c>
      <c r="D135">
        <v>1476</v>
      </c>
      <c r="E135">
        <v>10316</v>
      </c>
      <c r="F135">
        <v>8948</v>
      </c>
      <c r="G135">
        <v>1078</v>
      </c>
      <c r="H135">
        <v>0</v>
      </c>
      <c r="I135">
        <v>18</v>
      </c>
      <c r="J135">
        <v>301</v>
      </c>
      <c r="K135">
        <v>283</v>
      </c>
      <c r="L135">
        <v>10635</v>
      </c>
      <c r="M135">
        <v>3545</v>
      </c>
    </row>
    <row r="136" spans="1:13" x14ac:dyDescent="0.2">
      <c r="A136" t="s">
        <v>1139</v>
      </c>
      <c r="B136" t="s">
        <v>1092</v>
      </c>
      <c r="C136" t="s">
        <v>324</v>
      </c>
      <c r="D136">
        <v>1476</v>
      </c>
      <c r="E136">
        <v>4233</v>
      </c>
      <c r="F136">
        <v>4007</v>
      </c>
      <c r="G136">
        <v>178</v>
      </c>
      <c r="H136">
        <v>0</v>
      </c>
      <c r="I136">
        <v>18</v>
      </c>
      <c r="J136">
        <v>243</v>
      </c>
      <c r="K136">
        <v>230</v>
      </c>
      <c r="L136">
        <v>4494</v>
      </c>
      <c r="M136">
        <v>1498</v>
      </c>
    </row>
    <row r="137" spans="1:13" x14ac:dyDescent="0.2">
      <c r="A137" t="s">
        <v>1139</v>
      </c>
      <c r="B137" t="s">
        <v>1092</v>
      </c>
      <c r="C137" t="s">
        <v>324</v>
      </c>
      <c r="D137">
        <v>1476</v>
      </c>
      <c r="E137">
        <v>9985</v>
      </c>
      <c r="F137">
        <v>8820</v>
      </c>
      <c r="G137">
        <v>833</v>
      </c>
      <c r="H137">
        <v>0</v>
      </c>
      <c r="I137">
        <v>24</v>
      </c>
      <c r="J137">
        <v>291</v>
      </c>
      <c r="K137">
        <v>281</v>
      </c>
      <c r="L137">
        <v>10300</v>
      </c>
      <c r="M137">
        <v>3433.3333333333298</v>
      </c>
    </row>
    <row r="138" spans="1:13" x14ac:dyDescent="0.2">
      <c r="A138" t="s">
        <v>1139</v>
      </c>
      <c r="B138" t="s">
        <v>1092</v>
      </c>
      <c r="C138" t="s">
        <v>1107</v>
      </c>
      <c r="D138">
        <v>1069</v>
      </c>
      <c r="E138">
        <v>17597</v>
      </c>
      <c r="F138">
        <v>15251</v>
      </c>
      <c r="G138">
        <v>1872</v>
      </c>
      <c r="H138">
        <v>1</v>
      </c>
      <c r="I138">
        <v>54</v>
      </c>
      <c r="J138">
        <v>265</v>
      </c>
      <c r="K138">
        <v>248</v>
      </c>
      <c r="L138">
        <v>17916</v>
      </c>
      <c r="M138">
        <v>5972</v>
      </c>
    </row>
    <row r="139" spans="1:13" x14ac:dyDescent="0.2">
      <c r="A139" t="s">
        <v>1139</v>
      </c>
      <c r="B139" t="s">
        <v>1092</v>
      </c>
      <c r="C139" t="s">
        <v>1107</v>
      </c>
      <c r="D139">
        <v>1069</v>
      </c>
      <c r="E139">
        <v>13104</v>
      </c>
      <c r="F139">
        <v>12677</v>
      </c>
      <c r="G139">
        <v>414</v>
      </c>
      <c r="H139">
        <v>14</v>
      </c>
      <c r="I139">
        <v>54</v>
      </c>
      <c r="J139">
        <v>227</v>
      </c>
      <c r="K139">
        <v>215</v>
      </c>
      <c r="L139">
        <v>13385</v>
      </c>
      <c r="M139">
        <v>4461.6666666666697</v>
      </c>
    </row>
    <row r="140" spans="1:13" x14ac:dyDescent="0.2">
      <c r="A140" t="s">
        <v>1139</v>
      </c>
      <c r="B140" t="s">
        <v>1092</v>
      </c>
      <c r="C140" t="s">
        <v>1107</v>
      </c>
      <c r="D140">
        <v>1069</v>
      </c>
      <c r="E140">
        <v>17533</v>
      </c>
      <c r="F140">
        <v>15887</v>
      </c>
      <c r="G140">
        <v>1215</v>
      </c>
      <c r="H140">
        <v>1</v>
      </c>
      <c r="I140">
        <v>54</v>
      </c>
      <c r="J140">
        <v>264</v>
      </c>
      <c r="K140">
        <v>257</v>
      </c>
      <c r="L140">
        <v>17851</v>
      </c>
      <c r="M140">
        <v>5950.3333333333303</v>
      </c>
    </row>
    <row r="141" spans="1:13" x14ac:dyDescent="0.2">
      <c r="A141" t="s">
        <v>1139</v>
      </c>
      <c r="B141" t="s">
        <v>1092</v>
      </c>
      <c r="C141" t="s">
        <v>1108</v>
      </c>
      <c r="D141">
        <v>1095</v>
      </c>
      <c r="E141">
        <v>7</v>
      </c>
      <c r="F141">
        <v>6</v>
      </c>
      <c r="G141">
        <v>0</v>
      </c>
      <c r="H141">
        <v>0</v>
      </c>
      <c r="I141">
        <v>0</v>
      </c>
      <c r="J141">
        <v>227</v>
      </c>
      <c r="K141">
        <v>213</v>
      </c>
      <c r="L141">
        <v>234</v>
      </c>
      <c r="M141">
        <v>78</v>
      </c>
    </row>
    <row r="142" spans="1:13" x14ac:dyDescent="0.2">
      <c r="A142" t="s">
        <v>1139</v>
      </c>
      <c r="B142" t="s">
        <v>1092</v>
      </c>
      <c r="C142" t="s">
        <v>1108</v>
      </c>
      <c r="D142">
        <v>1095</v>
      </c>
      <c r="E142">
        <v>42</v>
      </c>
      <c r="F142">
        <v>41</v>
      </c>
      <c r="G142">
        <v>2</v>
      </c>
      <c r="H142">
        <v>0</v>
      </c>
      <c r="I142">
        <v>0</v>
      </c>
      <c r="J142">
        <v>194</v>
      </c>
      <c r="K142">
        <v>188</v>
      </c>
      <c r="L142">
        <v>236</v>
      </c>
      <c r="M142">
        <v>78.6666666666667</v>
      </c>
    </row>
    <row r="143" spans="1:13" x14ac:dyDescent="0.2">
      <c r="A143" t="s">
        <v>1139</v>
      </c>
      <c r="B143" t="s">
        <v>1092</v>
      </c>
      <c r="C143" t="s">
        <v>1108</v>
      </c>
      <c r="D143">
        <v>1095</v>
      </c>
      <c r="E143">
        <v>4</v>
      </c>
      <c r="F143">
        <v>4</v>
      </c>
      <c r="G143">
        <v>0</v>
      </c>
      <c r="H143">
        <v>0</v>
      </c>
      <c r="I143">
        <v>0</v>
      </c>
      <c r="J143">
        <v>216</v>
      </c>
      <c r="K143">
        <v>212</v>
      </c>
      <c r="L143">
        <v>220</v>
      </c>
      <c r="M143">
        <v>73.3333333333333</v>
      </c>
    </row>
    <row r="144" spans="1:13" x14ac:dyDescent="0.2">
      <c r="A144" t="s">
        <v>1139</v>
      </c>
      <c r="B144" t="s">
        <v>1092</v>
      </c>
      <c r="C144" t="s">
        <v>101</v>
      </c>
      <c r="D144">
        <v>1060</v>
      </c>
      <c r="E144">
        <v>190</v>
      </c>
      <c r="F144">
        <v>178</v>
      </c>
      <c r="G144">
        <v>8</v>
      </c>
      <c r="H144">
        <v>16</v>
      </c>
      <c r="I144">
        <v>36</v>
      </c>
      <c r="J144">
        <v>221</v>
      </c>
      <c r="K144">
        <v>202</v>
      </c>
      <c r="L144">
        <v>447</v>
      </c>
      <c r="M144">
        <v>149</v>
      </c>
    </row>
    <row r="145" spans="1:13" x14ac:dyDescent="0.2">
      <c r="A145" t="s">
        <v>1140</v>
      </c>
      <c r="B145" t="s">
        <v>1093</v>
      </c>
      <c r="C145" t="s">
        <v>335</v>
      </c>
      <c r="D145">
        <v>800</v>
      </c>
      <c r="E145">
        <v>175</v>
      </c>
      <c r="F145">
        <v>158</v>
      </c>
      <c r="G145">
        <v>10</v>
      </c>
      <c r="H145">
        <v>0</v>
      </c>
      <c r="I145">
        <v>3</v>
      </c>
      <c r="J145">
        <v>196</v>
      </c>
      <c r="K145">
        <v>184</v>
      </c>
      <c r="L145">
        <v>374</v>
      </c>
      <c r="M145">
        <v>124.666666666667</v>
      </c>
    </row>
    <row r="146" spans="1:13" x14ac:dyDescent="0.2">
      <c r="A146" t="s">
        <v>1140</v>
      </c>
      <c r="B146" t="s">
        <v>1093</v>
      </c>
      <c r="C146" t="s">
        <v>339</v>
      </c>
      <c r="D146">
        <v>286</v>
      </c>
      <c r="E146">
        <v>196</v>
      </c>
      <c r="F146">
        <v>190</v>
      </c>
      <c r="G146">
        <v>4</v>
      </c>
      <c r="H146">
        <v>0</v>
      </c>
      <c r="I146">
        <v>6</v>
      </c>
      <c r="J146">
        <v>192</v>
      </c>
      <c r="K146">
        <v>183</v>
      </c>
      <c r="L146">
        <v>394</v>
      </c>
      <c r="M146">
        <v>131.333333333333</v>
      </c>
    </row>
    <row r="147" spans="1:13" x14ac:dyDescent="0.2">
      <c r="A147" t="s">
        <v>1140</v>
      </c>
      <c r="B147" t="s">
        <v>1093</v>
      </c>
      <c r="C147" t="s">
        <v>339</v>
      </c>
      <c r="D147">
        <v>286</v>
      </c>
      <c r="E147">
        <v>0</v>
      </c>
      <c r="F147">
        <v>0</v>
      </c>
      <c r="G147">
        <v>0</v>
      </c>
      <c r="H147">
        <v>0</v>
      </c>
      <c r="I147">
        <v>3</v>
      </c>
      <c r="J147">
        <v>0</v>
      </c>
      <c r="K147">
        <v>0</v>
      </c>
      <c r="L147">
        <v>3</v>
      </c>
      <c r="M147">
        <v>1</v>
      </c>
    </row>
    <row r="148" spans="1:13" x14ac:dyDescent="0.2">
      <c r="A148" t="s">
        <v>1140</v>
      </c>
      <c r="B148" t="s">
        <v>1093</v>
      </c>
      <c r="C148" t="s">
        <v>354</v>
      </c>
      <c r="D148">
        <v>288</v>
      </c>
      <c r="E148">
        <v>992</v>
      </c>
      <c r="F148">
        <v>967</v>
      </c>
      <c r="G148">
        <v>26</v>
      </c>
      <c r="H148">
        <v>0</v>
      </c>
      <c r="I148">
        <v>12</v>
      </c>
      <c r="J148">
        <v>230</v>
      </c>
      <c r="K148">
        <v>225</v>
      </c>
      <c r="L148">
        <v>1234</v>
      </c>
      <c r="M148">
        <v>411.33333333333297</v>
      </c>
    </row>
    <row r="149" spans="1:13" x14ac:dyDescent="0.2">
      <c r="A149" t="s">
        <v>1140</v>
      </c>
      <c r="B149" t="s">
        <v>1093</v>
      </c>
      <c r="C149" t="s">
        <v>1109</v>
      </c>
      <c r="D149">
        <v>378</v>
      </c>
      <c r="E149">
        <v>596</v>
      </c>
      <c r="F149">
        <v>581</v>
      </c>
      <c r="G149">
        <v>68</v>
      </c>
      <c r="H149">
        <v>72</v>
      </c>
      <c r="I149">
        <v>24</v>
      </c>
      <c r="J149">
        <v>340</v>
      </c>
      <c r="K149">
        <v>329</v>
      </c>
      <c r="L149">
        <v>960</v>
      </c>
      <c r="M149">
        <v>320</v>
      </c>
    </row>
    <row r="150" spans="1:13" x14ac:dyDescent="0.2">
      <c r="A150" t="s">
        <v>1140</v>
      </c>
      <c r="B150" t="s">
        <v>1093</v>
      </c>
      <c r="C150" t="s">
        <v>363</v>
      </c>
      <c r="D150">
        <v>277</v>
      </c>
      <c r="E150">
        <v>1478</v>
      </c>
      <c r="F150">
        <v>1417</v>
      </c>
      <c r="G150">
        <v>51</v>
      </c>
      <c r="H150">
        <v>0</v>
      </c>
      <c r="I150">
        <v>18</v>
      </c>
      <c r="J150">
        <v>185</v>
      </c>
      <c r="K150">
        <v>171</v>
      </c>
      <c r="L150">
        <v>1681</v>
      </c>
      <c r="M150">
        <v>560.33333333333303</v>
      </c>
    </row>
    <row r="151" spans="1:13" x14ac:dyDescent="0.2">
      <c r="A151" t="s">
        <v>1140</v>
      </c>
      <c r="B151" t="s">
        <v>1093</v>
      </c>
      <c r="C151" t="s">
        <v>363</v>
      </c>
      <c r="D151">
        <v>277</v>
      </c>
      <c r="E151">
        <v>2281</v>
      </c>
      <c r="F151">
        <v>2107</v>
      </c>
      <c r="G151">
        <v>129</v>
      </c>
      <c r="H151">
        <v>0</v>
      </c>
      <c r="I151">
        <v>12</v>
      </c>
      <c r="J151">
        <v>189</v>
      </c>
      <c r="K151">
        <v>175</v>
      </c>
      <c r="L151">
        <v>2482</v>
      </c>
      <c r="M151">
        <v>827.33333333333303</v>
      </c>
    </row>
    <row r="152" spans="1:13" x14ac:dyDescent="0.2">
      <c r="A152" t="s">
        <v>1140</v>
      </c>
      <c r="B152" t="s">
        <v>1093</v>
      </c>
      <c r="C152" t="s">
        <v>370</v>
      </c>
      <c r="D152">
        <v>594</v>
      </c>
      <c r="E152">
        <v>146</v>
      </c>
      <c r="F152">
        <v>133</v>
      </c>
      <c r="G152">
        <v>9</v>
      </c>
      <c r="H152">
        <v>5</v>
      </c>
      <c r="I152">
        <v>48</v>
      </c>
      <c r="J152">
        <v>229</v>
      </c>
      <c r="K152">
        <v>202</v>
      </c>
      <c r="L152">
        <v>423</v>
      </c>
      <c r="M152">
        <v>141</v>
      </c>
    </row>
    <row r="153" spans="1:13" x14ac:dyDescent="0.2">
      <c r="A153" t="s">
        <v>1139</v>
      </c>
      <c r="B153" t="s">
        <v>1092</v>
      </c>
      <c r="C153" t="s">
        <v>1110</v>
      </c>
      <c r="D153">
        <v>1071</v>
      </c>
      <c r="E153">
        <v>26881</v>
      </c>
      <c r="F153">
        <v>22429</v>
      </c>
      <c r="G153">
        <v>3321</v>
      </c>
      <c r="H153">
        <v>0</v>
      </c>
      <c r="I153">
        <v>0</v>
      </c>
      <c r="J153">
        <v>0</v>
      </c>
      <c r="K153">
        <v>0</v>
      </c>
      <c r="L153">
        <v>26881</v>
      </c>
      <c r="M153">
        <v>8960.3333333333303</v>
      </c>
    </row>
    <row r="154" spans="1:13" x14ac:dyDescent="0.2">
      <c r="A154" t="s">
        <v>1139</v>
      </c>
      <c r="B154" t="s">
        <v>1092</v>
      </c>
      <c r="C154" t="s">
        <v>1110</v>
      </c>
      <c r="D154">
        <v>1071</v>
      </c>
      <c r="E154">
        <v>20738</v>
      </c>
      <c r="F154">
        <v>20121</v>
      </c>
      <c r="G154">
        <v>534</v>
      </c>
      <c r="H154">
        <v>0</v>
      </c>
      <c r="I154">
        <v>0</v>
      </c>
      <c r="J154">
        <v>0</v>
      </c>
      <c r="K154">
        <v>0</v>
      </c>
      <c r="L154">
        <v>20738</v>
      </c>
      <c r="M154">
        <v>6912.6666666666697</v>
      </c>
    </row>
    <row r="155" spans="1:13" x14ac:dyDescent="0.2">
      <c r="A155" t="s">
        <v>1139</v>
      </c>
      <c r="B155" t="s">
        <v>1092</v>
      </c>
      <c r="C155" t="s">
        <v>1110</v>
      </c>
      <c r="D155">
        <v>1071</v>
      </c>
      <c r="E155">
        <v>28338</v>
      </c>
      <c r="F155">
        <v>25271</v>
      </c>
      <c r="G155">
        <v>2503</v>
      </c>
      <c r="H155">
        <v>0</v>
      </c>
      <c r="I155">
        <v>0</v>
      </c>
      <c r="J155">
        <v>0</v>
      </c>
      <c r="K155">
        <v>0</v>
      </c>
      <c r="L155">
        <v>28338</v>
      </c>
      <c r="M155">
        <v>9446</v>
      </c>
    </row>
    <row r="156" spans="1:13" x14ac:dyDescent="0.2">
      <c r="A156" t="s">
        <v>1139</v>
      </c>
      <c r="B156" t="s">
        <v>1092</v>
      </c>
      <c r="C156" t="s">
        <v>1111</v>
      </c>
      <c r="D156">
        <v>1074</v>
      </c>
      <c r="E156">
        <v>26917</v>
      </c>
      <c r="F156">
        <v>22460</v>
      </c>
      <c r="G156">
        <v>3326</v>
      </c>
      <c r="H156">
        <v>0</v>
      </c>
      <c r="I156">
        <v>0</v>
      </c>
      <c r="J156">
        <v>0</v>
      </c>
      <c r="K156">
        <v>0</v>
      </c>
      <c r="L156">
        <v>26917</v>
      </c>
      <c r="M156">
        <v>8972.3333333333303</v>
      </c>
    </row>
    <row r="157" spans="1:13" x14ac:dyDescent="0.2">
      <c r="A157" t="s">
        <v>1139</v>
      </c>
      <c r="B157" t="s">
        <v>1092</v>
      </c>
      <c r="C157" t="s">
        <v>1111</v>
      </c>
      <c r="D157">
        <v>1074</v>
      </c>
      <c r="E157">
        <v>20755</v>
      </c>
      <c r="F157">
        <v>20137</v>
      </c>
      <c r="G157">
        <v>529</v>
      </c>
      <c r="H157">
        <v>0</v>
      </c>
      <c r="I157">
        <v>0</v>
      </c>
      <c r="J157">
        <v>0</v>
      </c>
      <c r="K157">
        <v>0</v>
      </c>
      <c r="L157">
        <v>20755</v>
      </c>
      <c r="M157">
        <v>6918.3333333333303</v>
      </c>
    </row>
    <row r="158" spans="1:13" x14ac:dyDescent="0.2">
      <c r="A158" t="s">
        <v>1139</v>
      </c>
      <c r="B158" t="s">
        <v>1092</v>
      </c>
      <c r="C158" t="s">
        <v>1111</v>
      </c>
      <c r="D158">
        <v>1074</v>
      </c>
      <c r="E158">
        <v>28365</v>
      </c>
      <c r="F158">
        <v>25293</v>
      </c>
      <c r="G158">
        <v>2513</v>
      </c>
      <c r="H158">
        <v>0</v>
      </c>
      <c r="I158">
        <v>0</v>
      </c>
      <c r="J158">
        <v>0</v>
      </c>
      <c r="K158">
        <v>0</v>
      </c>
      <c r="L158">
        <v>28365</v>
      </c>
      <c r="M158">
        <v>9455</v>
      </c>
    </row>
    <row r="159" spans="1:13" x14ac:dyDescent="0.2">
      <c r="A159" t="s">
        <v>1140</v>
      </c>
      <c r="B159" t="s">
        <v>1093</v>
      </c>
      <c r="C159" t="s">
        <v>374</v>
      </c>
      <c r="D159">
        <v>396</v>
      </c>
      <c r="E159">
        <v>1036</v>
      </c>
      <c r="F159">
        <v>975</v>
      </c>
      <c r="G159">
        <v>57</v>
      </c>
      <c r="H159">
        <v>0</v>
      </c>
      <c r="I159">
        <v>9</v>
      </c>
      <c r="J159">
        <v>367</v>
      </c>
      <c r="K159">
        <v>355</v>
      </c>
      <c r="L159">
        <v>1412</v>
      </c>
      <c r="M159">
        <v>470.66666666666703</v>
      </c>
    </row>
    <row r="160" spans="1:13" x14ac:dyDescent="0.2">
      <c r="A160" t="s">
        <v>1140</v>
      </c>
      <c r="B160" t="s">
        <v>1093</v>
      </c>
      <c r="C160" t="s">
        <v>374</v>
      </c>
      <c r="D160">
        <v>396</v>
      </c>
      <c r="E160">
        <v>1582</v>
      </c>
      <c r="F160">
        <v>1449</v>
      </c>
      <c r="G160">
        <v>86</v>
      </c>
      <c r="H160">
        <v>0</v>
      </c>
      <c r="I160">
        <v>9</v>
      </c>
      <c r="J160">
        <v>390</v>
      </c>
      <c r="K160">
        <v>363</v>
      </c>
      <c r="L160">
        <v>1981</v>
      </c>
      <c r="M160">
        <v>660.33333333333303</v>
      </c>
    </row>
    <row r="161" spans="1:13" x14ac:dyDescent="0.2">
      <c r="A161" t="s">
        <v>1139</v>
      </c>
      <c r="B161" t="s">
        <v>1092</v>
      </c>
      <c r="C161" t="s">
        <v>1112</v>
      </c>
      <c r="D161">
        <v>1072</v>
      </c>
      <c r="E161">
        <v>26882</v>
      </c>
      <c r="F161">
        <v>22429</v>
      </c>
      <c r="G161">
        <v>3322</v>
      </c>
      <c r="H161">
        <v>0</v>
      </c>
      <c r="I161">
        <v>0</v>
      </c>
      <c r="J161">
        <v>0</v>
      </c>
      <c r="K161">
        <v>0</v>
      </c>
      <c r="L161">
        <v>26882</v>
      </c>
      <c r="M161">
        <v>8960.6666666666697</v>
      </c>
    </row>
    <row r="162" spans="1:13" x14ac:dyDescent="0.2">
      <c r="A162" t="s">
        <v>1139</v>
      </c>
      <c r="B162" t="s">
        <v>1092</v>
      </c>
      <c r="C162" t="s">
        <v>1112</v>
      </c>
      <c r="D162">
        <v>1072</v>
      </c>
      <c r="E162">
        <v>20738</v>
      </c>
      <c r="F162">
        <v>20121</v>
      </c>
      <c r="G162">
        <v>534</v>
      </c>
      <c r="H162">
        <v>0</v>
      </c>
      <c r="I162">
        <v>0</v>
      </c>
      <c r="J162">
        <v>0</v>
      </c>
      <c r="K162">
        <v>0</v>
      </c>
      <c r="L162">
        <v>20738</v>
      </c>
      <c r="M162">
        <v>6912.6666666666697</v>
      </c>
    </row>
    <row r="163" spans="1:13" x14ac:dyDescent="0.2">
      <c r="A163" t="s">
        <v>1139</v>
      </c>
      <c r="B163" t="s">
        <v>1092</v>
      </c>
      <c r="C163" t="s">
        <v>1112</v>
      </c>
      <c r="D163">
        <v>1072</v>
      </c>
      <c r="E163">
        <v>28337</v>
      </c>
      <c r="F163">
        <v>25270</v>
      </c>
      <c r="G163">
        <v>2504</v>
      </c>
      <c r="H163">
        <v>0</v>
      </c>
      <c r="I163">
        <v>0</v>
      </c>
      <c r="J163">
        <v>0</v>
      </c>
      <c r="K163">
        <v>0</v>
      </c>
      <c r="L163">
        <v>28337</v>
      </c>
      <c r="M163">
        <v>9445.6666666666697</v>
      </c>
    </row>
    <row r="164" spans="1:13" x14ac:dyDescent="0.2">
      <c r="A164" t="s">
        <v>1139</v>
      </c>
      <c r="B164" t="s">
        <v>1092</v>
      </c>
      <c r="C164" t="s">
        <v>379</v>
      </c>
      <c r="D164">
        <v>1057</v>
      </c>
      <c r="E164">
        <v>1134</v>
      </c>
      <c r="F164">
        <v>1017</v>
      </c>
      <c r="G164">
        <v>129</v>
      </c>
      <c r="H164">
        <v>37</v>
      </c>
      <c r="I164">
        <v>105</v>
      </c>
      <c r="J164">
        <v>281</v>
      </c>
      <c r="K164">
        <v>260</v>
      </c>
      <c r="L164">
        <v>1520</v>
      </c>
      <c r="M164">
        <v>506.66666666666703</v>
      </c>
    </row>
    <row r="165" spans="1:13" x14ac:dyDescent="0.2">
      <c r="A165" t="s">
        <v>1139</v>
      </c>
      <c r="B165" t="s">
        <v>1092</v>
      </c>
      <c r="C165" t="s">
        <v>384</v>
      </c>
      <c r="D165">
        <v>1908</v>
      </c>
      <c r="E165">
        <v>753</v>
      </c>
      <c r="F165">
        <v>618</v>
      </c>
      <c r="G165">
        <v>121</v>
      </c>
      <c r="H165">
        <v>39</v>
      </c>
      <c r="I165">
        <v>48</v>
      </c>
      <c r="J165">
        <v>218</v>
      </c>
      <c r="K165">
        <v>211</v>
      </c>
      <c r="L165">
        <v>1019</v>
      </c>
      <c r="M165">
        <v>339.66666666666703</v>
      </c>
    </row>
    <row r="166" spans="1:13" x14ac:dyDescent="0.2">
      <c r="A166" t="s">
        <v>1139</v>
      </c>
      <c r="B166" t="s">
        <v>1092</v>
      </c>
      <c r="C166" t="s">
        <v>388</v>
      </c>
      <c r="D166">
        <v>1058</v>
      </c>
      <c r="E166">
        <v>690</v>
      </c>
      <c r="F166">
        <v>638</v>
      </c>
      <c r="G166">
        <v>53</v>
      </c>
      <c r="H166">
        <v>15</v>
      </c>
      <c r="I166">
        <v>90</v>
      </c>
      <c r="J166">
        <v>291</v>
      </c>
      <c r="K166">
        <v>251</v>
      </c>
      <c r="L166">
        <v>1071</v>
      </c>
      <c r="M166">
        <v>357</v>
      </c>
    </row>
    <row r="167" spans="1:13" x14ac:dyDescent="0.2">
      <c r="A167" t="s">
        <v>1139</v>
      </c>
      <c r="B167" t="s">
        <v>1092</v>
      </c>
      <c r="C167" t="s">
        <v>392</v>
      </c>
      <c r="D167">
        <v>1059</v>
      </c>
      <c r="E167">
        <v>712</v>
      </c>
      <c r="F167">
        <v>662</v>
      </c>
      <c r="G167">
        <v>105</v>
      </c>
      <c r="H167">
        <v>70</v>
      </c>
      <c r="I167">
        <v>54</v>
      </c>
      <c r="J167">
        <v>276</v>
      </c>
      <c r="K167">
        <v>243</v>
      </c>
      <c r="L167">
        <v>1042</v>
      </c>
      <c r="M167">
        <v>347.33333333333297</v>
      </c>
    </row>
    <row r="168" spans="1:13" x14ac:dyDescent="0.2">
      <c r="A168" t="s">
        <v>1140</v>
      </c>
      <c r="B168" t="s">
        <v>1093</v>
      </c>
      <c r="C168" t="s">
        <v>396</v>
      </c>
      <c r="D168">
        <v>774</v>
      </c>
      <c r="E168">
        <v>1628</v>
      </c>
      <c r="F168">
        <v>1501</v>
      </c>
      <c r="G168">
        <v>89</v>
      </c>
      <c r="H168">
        <v>4</v>
      </c>
      <c r="I168">
        <v>48</v>
      </c>
      <c r="J168">
        <v>434</v>
      </c>
      <c r="K168">
        <v>248</v>
      </c>
      <c r="L168">
        <v>2110</v>
      </c>
      <c r="M168">
        <v>703.33333333333303</v>
      </c>
    </row>
    <row r="169" spans="1:13" x14ac:dyDescent="0.2">
      <c r="A169" t="s">
        <v>1140</v>
      </c>
      <c r="B169" t="s">
        <v>1093</v>
      </c>
      <c r="C169" t="s">
        <v>479</v>
      </c>
      <c r="D169">
        <v>67</v>
      </c>
      <c r="E169">
        <v>2342</v>
      </c>
      <c r="F169">
        <v>2299</v>
      </c>
      <c r="G169">
        <v>35</v>
      </c>
      <c r="H169">
        <v>0</v>
      </c>
      <c r="I169">
        <v>48</v>
      </c>
      <c r="J169">
        <v>237</v>
      </c>
      <c r="K169">
        <v>192</v>
      </c>
      <c r="L169">
        <v>2627</v>
      </c>
      <c r="M169">
        <v>875.66666666666697</v>
      </c>
    </row>
    <row r="170" spans="1:13" x14ac:dyDescent="0.2">
      <c r="A170" t="s">
        <v>1139</v>
      </c>
      <c r="B170" t="s">
        <v>1092</v>
      </c>
      <c r="C170" t="s">
        <v>490</v>
      </c>
      <c r="D170">
        <v>1460</v>
      </c>
      <c r="E170">
        <v>6340</v>
      </c>
      <c r="F170">
        <v>5491</v>
      </c>
      <c r="G170">
        <v>680</v>
      </c>
      <c r="H170">
        <v>0</v>
      </c>
      <c r="I170">
        <v>64</v>
      </c>
      <c r="J170">
        <v>362</v>
      </c>
      <c r="K170">
        <v>321</v>
      </c>
      <c r="L170">
        <v>6766</v>
      </c>
      <c r="M170">
        <v>2255.3333333333298</v>
      </c>
    </row>
    <row r="171" spans="1:13" x14ac:dyDescent="0.2">
      <c r="A171" t="s">
        <v>1139</v>
      </c>
      <c r="B171" t="s">
        <v>1092</v>
      </c>
      <c r="C171" t="s">
        <v>490</v>
      </c>
      <c r="D171">
        <v>1460</v>
      </c>
      <c r="E171">
        <v>910</v>
      </c>
      <c r="F171">
        <v>880</v>
      </c>
      <c r="G171">
        <v>20</v>
      </c>
      <c r="H171">
        <v>0</v>
      </c>
      <c r="I171">
        <v>64</v>
      </c>
      <c r="J171">
        <v>250</v>
      </c>
      <c r="K171">
        <v>233</v>
      </c>
      <c r="L171">
        <v>1224</v>
      </c>
      <c r="M171">
        <v>408</v>
      </c>
    </row>
    <row r="172" spans="1:13" x14ac:dyDescent="0.2">
      <c r="A172" t="s">
        <v>1139</v>
      </c>
      <c r="B172" t="s">
        <v>1092</v>
      </c>
      <c r="C172" t="s">
        <v>490</v>
      </c>
      <c r="D172">
        <v>1460</v>
      </c>
      <c r="E172">
        <v>5906</v>
      </c>
      <c r="F172">
        <v>5256</v>
      </c>
      <c r="G172">
        <v>464</v>
      </c>
      <c r="H172">
        <v>0</v>
      </c>
      <c r="I172">
        <v>80</v>
      </c>
      <c r="J172">
        <v>295</v>
      </c>
      <c r="K172">
        <v>283</v>
      </c>
      <c r="L172">
        <v>6281</v>
      </c>
      <c r="M172">
        <v>2093.6666666666702</v>
      </c>
    </row>
    <row r="173" spans="1:13" x14ac:dyDescent="0.2">
      <c r="A173" t="s">
        <v>1139</v>
      </c>
      <c r="B173" t="s">
        <v>1092</v>
      </c>
      <c r="C173" t="s">
        <v>1113</v>
      </c>
      <c r="D173">
        <v>1102</v>
      </c>
      <c r="E173">
        <v>10716</v>
      </c>
      <c r="F173">
        <v>9348</v>
      </c>
      <c r="G173">
        <v>1177</v>
      </c>
      <c r="H173">
        <v>0</v>
      </c>
      <c r="I173">
        <v>738</v>
      </c>
      <c r="J173">
        <v>312</v>
      </c>
      <c r="K173">
        <v>284</v>
      </c>
      <c r="L173">
        <v>11766</v>
      </c>
      <c r="M173">
        <v>3922</v>
      </c>
    </row>
    <row r="174" spans="1:13" x14ac:dyDescent="0.2">
      <c r="A174" t="s">
        <v>1139</v>
      </c>
      <c r="B174" t="s">
        <v>1092</v>
      </c>
      <c r="C174" t="s">
        <v>1113</v>
      </c>
      <c r="D174">
        <v>1102</v>
      </c>
      <c r="E174">
        <v>12122</v>
      </c>
      <c r="F174">
        <v>11774</v>
      </c>
      <c r="G174">
        <v>282</v>
      </c>
      <c r="H174">
        <v>0</v>
      </c>
      <c r="I174">
        <v>606</v>
      </c>
      <c r="J174">
        <v>291</v>
      </c>
      <c r="K174">
        <v>274</v>
      </c>
      <c r="L174">
        <v>13019</v>
      </c>
      <c r="M174">
        <v>4339.6666666666697</v>
      </c>
    </row>
    <row r="175" spans="1:13" x14ac:dyDescent="0.2">
      <c r="A175" t="s">
        <v>1139</v>
      </c>
      <c r="B175" t="s">
        <v>1092</v>
      </c>
      <c r="C175" t="s">
        <v>1113</v>
      </c>
      <c r="D175">
        <v>1102</v>
      </c>
      <c r="E175">
        <v>11168</v>
      </c>
      <c r="F175">
        <v>10098</v>
      </c>
      <c r="G175">
        <v>835</v>
      </c>
      <c r="H175">
        <v>0</v>
      </c>
      <c r="I175">
        <v>696</v>
      </c>
      <c r="J175">
        <v>277</v>
      </c>
      <c r="K175">
        <v>267</v>
      </c>
      <c r="L175">
        <v>12141</v>
      </c>
      <c r="M175">
        <v>4047</v>
      </c>
    </row>
    <row r="176" spans="1:13" x14ac:dyDescent="0.2">
      <c r="A176" t="s">
        <v>1139</v>
      </c>
      <c r="B176" t="s">
        <v>1092</v>
      </c>
      <c r="C176" t="s">
        <v>1114</v>
      </c>
      <c r="D176">
        <v>1134</v>
      </c>
      <c r="E176">
        <v>3</v>
      </c>
      <c r="F176">
        <v>3</v>
      </c>
      <c r="G176">
        <v>0</v>
      </c>
      <c r="H176">
        <v>0</v>
      </c>
      <c r="I176">
        <v>720</v>
      </c>
      <c r="J176">
        <v>258</v>
      </c>
      <c r="K176">
        <v>233</v>
      </c>
      <c r="L176">
        <v>981</v>
      </c>
      <c r="M176">
        <v>327</v>
      </c>
    </row>
    <row r="177" spans="1:13" x14ac:dyDescent="0.2">
      <c r="A177" t="s">
        <v>1139</v>
      </c>
      <c r="B177" t="s">
        <v>1092</v>
      </c>
      <c r="C177" t="s">
        <v>1114</v>
      </c>
      <c r="D177">
        <v>1134</v>
      </c>
      <c r="E177">
        <v>49</v>
      </c>
      <c r="F177">
        <v>49</v>
      </c>
      <c r="G177">
        <v>1</v>
      </c>
      <c r="H177">
        <v>0</v>
      </c>
      <c r="I177">
        <v>576</v>
      </c>
      <c r="J177">
        <v>242</v>
      </c>
      <c r="K177">
        <v>227</v>
      </c>
      <c r="L177">
        <v>867</v>
      </c>
      <c r="M177">
        <v>289</v>
      </c>
    </row>
    <row r="178" spans="1:13" x14ac:dyDescent="0.2">
      <c r="A178" t="s">
        <v>1139</v>
      </c>
      <c r="B178" t="s">
        <v>1092</v>
      </c>
      <c r="C178" t="s">
        <v>1114</v>
      </c>
      <c r="D178">
        <v>1134</v>
      </c>
      <c r="E178">
        <v>2</v>
      </c>
      <c r="F178">
        <v>1</v>
      </c>
      <c r="G178">
        <v>0</v>
      </c>
      <c r="H178">
        <v>0</v>
      </c>
      <c r="I178">
        <v>702</v>
      </c>
      <c r="J178">
        <v>237</v>
      </c>
      <c r="K178">
        <v>229</v>
      </c>
      <c r="L178">
        <v>941</v>
      </c>
      <c r="M178">
        <v>313.66666666666703</v>
      </c>
    </row>
    <row r="179" spans="1:13" x14ac:dyDescent="0.2">
      <c r="A179" t="s">
        <v>1139</v>
      </c>
      <c r="B179" t="s">
        <v>1092</v>
      </c>
      <c r="C179" t="s">
        <v>400</v>
      </c>
      <c r="D179">
        <v>1431</v>
      </c>
      <c r="E179">
        <v>3406</v>
      </c>
      <c r="F179">
        <v>3087</v>
      </c>
      <c r="G179">
        <v>209</v>
      </c>
      <c r="H179">
        <v>1</v>
      </c>
      <c r="I179">
        <v>12</v>
      </c>
      <c r="J179">
        <v>268</v>
      </c>
      <c r="K179">
        <v>242</v>
      </c>
      <c r="L179">
        <v>3686</v>
      </c>
      <c r="M179">
        <v>1228.6666666666699</v>
      </c>
    </row>
    <row r="180" spans="1:13" x14ac:dyDescent="0.2">
      <c r="A180" t="s">
        <v>1139</v>
      </c>
      <c r="B180" t="s">
        <v>1092</v>
      </c>
      <c r="C180" t="s">
        <v>400</v>
      </c>
      <c r="D180">
        <v>1431</v>
      </c>
      <c r="E180">
        <v>10207</v>
      </c>
      <c r="F180">
        <v>9630</v>
      </c>
      <c r="G180">
        <v>475</v>
      </c>
      <c r="H180">
        <v>36</v>
      </c>
      <c r="I180">
        <v>15</v>
      </c>
      <c r="J180">
        <v>274</v>
      </c>
      <c r="K180">
        <v>252</v>
      </c>
      <c r="L180">
        <v>10496</v>
      </c>
      <c r="M180">
        <v>3498.6666666666702</v>
      </c>
    </row>
    <row r="181" spans="1:13" x14ac:dyDescent="0.2">
      <c r="A181" t="s">
        <v>1139</v>
      </c>
      <c r="B181" t="s">
        <v>1092</v>
      </c>
      <c r="C181" t="s">
        <v>400</v>
      </c>
      <c r="D181">
        <v>1431</v>
      </c>
      <c r="E181">
        <v>4756</v>
      </c>
      <c r="F181">
        <v>4197</v>
      </c>
      <c r="G181">
        <v>390</v>
      </c>
      <c r="H181">
        <v>7</v>
      </c>
      <c r="I181">
        <v>15</v>
      </c>
      <c r="J181">
        <v>290</v>
      </c>
      <c r="K181">
        <v>275</v>
      </c>
      <c r="L181">
        <v>5061</v>
      </c>
      <c r="M181">
        <v>1687</v>
      </c>
    </row>
    <row r="182" spans="1:13" x14ac:dyDescent="0.2">
      <c r="A182" t="s">
        <v>1140</v>
      </c>
      <c r="B182" t="s">
        <v>1093</v>
      </c>
      <c r="C182" t="s">
        <v>406</v>
      </c>
      <c r="D182">
        <v>645</v>
      </c>
      <c r="E182">
        <v>497</v>
      </c>
      <c r="F182">
        <v>451</v>
      </c>
      <c r="G182">
        <v>25</v>
      </c>
      <c r="H182">
        <v>0</v>
      </c>
      <c r="I182">
        <v>0</v>
      </c>
      <c r="J182">
        <v>381</v>
      </c>
      <c r="K182">
        <v>221</v>
      </c>
      <c r="L182">
        <v>878</v>
      </c>
      <c r="M182">
        <v>292.66666666666703</v>
      </c>
    </row>
    <row r="183" spans="1:13" x14ac:dyDescent="0.2">
      <c r="A183" t="s">
        <v>1139</v>
      </c>
      <c r="B183" t="s">
        <v>1092</v>
      </c>
      <c r="C183" t="s">
        <v>410</v>
      </c>
      <c r="D183">
        <v>1429</v>
      </c>
      <c r="E183">
        <v>2097</v>
      </c>
      <c r="F183">
        <v>1833</v>
      </c>
      <c r="G183">
        <v>221</v>
      </c>
      <c r="H183">
        <v>14</v>
      </c>
      <c r="I183">
        <v>204</v>
      </c>
      <c r="J183">
        <v>243</v>
      </c>
      <c r="K183">
        <v>213</v>
      </c>
      <c r="L183">
        <v>2544</v>
      </c>
      <c r="M183">
        <v>848</v>
      </c>
    </row>
    <row r="184" spans="1:13" x14ac:dyDescent="0.2">
      <c r="A184" t="s">
        <v>1139</v>
      </c>
      <c r="B184" t="s">
        <v>1092</v>
      </c>
      <c r="C184" t="s">
        <v>410</v>
      </c>
      <c r="D184">
        <v>1429</v>
      </c>
      <c r="E184">
        <v>5923</v>
      </c>
      <c r="F184">
        <v>5553</v>
      </c>
      <c r="G184">
        <v>362</v>
      </c>
      <c r="H184">
        <v>79</v>
      </c>
      <c r="I184">
        <v>390</v>
      </c>
      <c r="J184">
        <v>223</v>
      </c>
      <c r="K184">
        <v>215</v>
      </c>
      <c r="L184">
        <v>6536</v>
      </c>
      <c r="M184">
        <v>2178.6666666666702</v>
      </c>
    </row>
    <row r="185" spans="1:13" x14ac:dyDescent="0.2">
      <c r="A185" t="s">
        <v>1139</v>
      </c>
      <c r="B185" t="s">
        <v>1092</v>
      </c>
      <c r="C185" t="s">
        <v>410</v>
      </c>
      <c r="D185">
        <v>1429</v>
      </c>
      <c r="E185">
        <v>2382</v>
      </c>
      <c r="F185">
        <v>2163</v>
      </c>
      <c r="G185">
        <v>200</v>
      </c>
      <c r="H185">
        <v>17</v>
      </c>
      <c r="I185">
        <v>276</v>
      </c>
      <c r="J185">
        <v>267</v>
      </c>
      <c r="K185">
        <v>257</v>
      </c>
      <c r="L185">
        <v>2925</v>
      </c>
      <c r="M185">
        <v>975</v>
      </c>
    </row>
    <row r="186" spans="1:13" x14ac:dyDescent="0.2">
      <c r="A186" t="s">
        <v>1139</v>
      </c>
      <c r="B186" t="s">
        <v>1092</v>
      </c>
      <c r="C186" t="s">
        <v>1115</v>
      </c>
      <c r="D186">
        <v>1073</v>
      </c>
      <c r="E186">
        <v>26880</v>
      </c>
      <c r="F186">
        <v>22428</v>
      </c>
      <c r="G186">
        <v>3322</v>
      </c>
      <c r="H186">
        <v>0</v>
      </c>
      <c r="I186">
        <v>0</v>
      </c>
      <c r="J186">
        <v>0</v>
      </c>
      <c r="K186">
        <v>0</v>
      </c>
      <c r="L186">
        <v>26880</v>
      </c>
      <c r="M186">
        <v>8960</v>
      </c>
    </row>
    <row r="187" spans="1:13" x14ac:dyDescent="0.2">
      <c r="A187" t="s">
        <v>1139</v>
      </c>
      <c r="B187" t="s">
        <v>1092</v>
      </c>
      <c r="C187" t="s">
        <v>1115</v>
      </c>
      <c r="D187">
        <v>1073</v>
      </c>
      <c r="E187">
        <v>20740</v>
      </c>
      <c r="F187">
        <v>20123</v>
      </c>
      <c r="G187">
        <v>534</v>
      </c>
      <c r="H187">
        <v>0</v>
      </c>
      <c r="I187">
        <v>0</v>
      </c>
      <c r="J187">
        <v>0</v>
      </c>
      <c r="K187">
        <v>0</v>
      </c>
      <c r="L187">
        <v>20740</v>
      </c>
      <c r="M187">
        <v>6913.3333333333303</v>
      </c>
    </row>
    <row r="188" spans="1:13" x14ac:dyDescent="0.2">
      <c r="A188" t="s">
        <v>1139</v>
      </c>
      <c r="B188" t="s">
        <v>1092</v>
      </c>
      <c r="C188" t="s">
        <v>1115</v>
      </c>
      <c r="D188">
        <v>1073</v>
      </c>
      <c r="E188">
        <v>28337</v>
      </c>
      <c r="F188">
        <v>25270</v>
      </c>
      <c r="G188">
        <v>2504</v>
      </c>
      <c r="H188">
        <v>0</v>
      </c>
      <c r="I188">
        <v>0</v>
      </c>
      <c r="J188">
        <v>0</v>
      </c>
      <c r="K188">
        <v>0</v>
      </c>
      <c r="L188">
        <v>28337</v>
      </c>
      <c r="M188">
        <v>9445.6666666666697</v>
      </c>
    </row>
    <row r="189" spans="1:13" x14ac:dyDescent="0.2">
      <c r="A189" t="s">
        <v>1139</v>
      </c>
      <c r="B189" t="s">
        <v>1092</v>
      </c>
      <c r="C189" t="s">
        <v>415</v>
      </c>
      <c r="D189">
        <v>1976</v>
      </c>
      <c r="E189">
        <v>118</v>
      </c>
      <c r="F189">
        <v>118</v>
      </c>
      <c r="G189">
        <v>2</v>
      </c>
      <c r="H189">
        <v>0</v>
      </c>
      <c r="I189">
        <v>150</v>
      </c>
      <c r="J189">
        <v>223</v>
      </c>
      <c r="K189">
        <v>200</v>
      </c>
      <c r="L189">
        <v>491</v>
      </c>
      <c r="M189">
        <v>163.666666666667</v>
      </c>
    </row>
    <row r="190" spans="1:13" x14ac:dyDescent="0.2">
      <c r="A190" t="s">
        <v>1139</v>
      </c>
      <c r="B190" t="s">
        <v>1092</v>
      </c>
      <c r="C190" t="s">
        <v>415</v>
      </c>
      <c r="D190">
        <v>1976</v>
      </c>
      <c r="E190">
        <v>1</v>
      </c>
      <c r="F190">
        <v>1</v>
      </c>
      <c r="G190">
        <v>0</v>
      </c>
      <c r="H190">
        <v>0</v>
      </c>
      <c r="I190">
        <v>6</v>
      </c>
      <c r="J190">
        <v>4</v>
      </c>
      <c r="K190">
        <v>4</v>
      </c>
      <c r="L190">
        <v>11</v>
      </c>
      <c r="M190">
        <v>3.6666666666666701</v>
      </c>
    </row>
    <row r="191" spans="1:13" x14ac:dyDescent="0.2">
      <c r="A191" t="s">
        <v>1139</v>
      </c>
      <c r="B191" t="s">
        <v>1092</v>
      </c>
      <c r="C191" t="s">
        <v>1116</v>
      </c>
      <c r="D191">
        <v>1070</v>
      </c>
      <c r="E191">
        <v>2998</v>
      </c>
      <c r="F191">
        <v>2603</v>
      </c>
      <c r="G191">
        <v>313</v>
      </c>
      <c r="H191">
        <v>0</v>
      </c>
      <c r="I191">
        <v>36</v>
      </c>
      <c r="J191">
        <v>254</v>
      </c>
      <c r="K191">
        <v>234</v>
      </c>
      <c r="L191">
        <v>3288</v>
      </c>
      <c r="M191">
        <v>1096</v>
      </c>
    </row>
    <row r="192" spans="1:13" x14ac:dyDescent="0.2">
      <c r="A192" t="s">
        <v>1139</v>
      </c>
      <c r="B192" t="s">
        <v>1092</v>
      </c>
      <c r="C192" t="s">
        <v>1116</v>
      </c>
      <c r="D192">
        <v>1070</v>
      </c>
      <c r="E192">
        <v>1256</v>
      </c>
      <c r="F192">
        <v>1199</v>
      </c>
      <c r="G192">
        <v>46</v>
      </c>
      <c r="H192">
        <v>0</v>
      </c>
      <c r="I192">
        <v>45</v>
      </c>
      <c r="J192">
        <v>220</v>
      </c>
      <c r="K192">
        <v>209</v>
      </c>
      <c r="L192">
        <v>1521</v>
      </c>
      <c r="M192">
        <v>507</v>
      </c>
    </row>
    <row r="193" spans="1:13" x14ac:dyDescent="0.2">
      <c r="A193" t="s">
        <v>1139</v>
      </c>
      <c r="B193" t="s">
        <v>1092</v>
      </c>
      <c r="C193" t="s">
        <v>1116</v>
      </c>
      <c r="D193">
        <v>1070</v>
      </c>
      <c r="E193">
        <v>2858</v>
      </c>
      <c r="F193">
        <v>2526</v>
      </c>
      <c r="G193">
        <v>226</v>
      </c>
      <c r="H193">
        <v>0</v>
      </c>
      <c r="I193">
        <v>36</v>
      </c>
      <c r="J193">
        <v>233</v>
      </c>
      <c r="K193">
        <v>224</v>
      </c>
      <c r="L193">
        <v>3127</v>
      </c>
      <c r="M193">
        <v>1042.3333333333301</v>
      </c>
    </row>
    <row r="194" spans="1:13" x14ac:dyDescent="0.2">
      <c r="A194" t="s">
        <v>1139</v>
      </c>
      <c r="B194" t="s">
        <v>1092</v>
      </c>
      <c r="C194" t="s">
        <v>1117</v>
      </c>
      <c r="D194">
        <v>1099</v>
      </c>
      <c r="E194">
        <v>0</v>
      </c>
      <c r="F194">
        <v>0</v>
      </c>
      <c r="G194">
        <v>0</v>
      </c>
      <c r="H194">
        <v>0</v>
      </c>
      <c r="I194">
        <v>36</v>
      </c>
      <c r="J194">
        <v>218</v>
      </c>
      <c r="K194">
        <v>204</v>
      </c>
      <c r="L194">
        <v>254</v>
      </c>
      <c r="M194">
        <v>84.6666666666667</v>
      </c>
    </row>
    <row r="195" spans="1:13" x14ac:dyDescent="0.2">
      <c r="A195" t="s">
        <v>1139</v>
      </c>
      <c r="B195" t="s">
        <v>1092</v>
      </c>
      <c r="C195" t="s">
        <v>1117</v>
      </c>
      <c r="D195">
        <v>1099</v>
      </c>
      <c r="E195">
        <v>12</v>
      </c>
      <c r="F195">
        <v>12</v>
      </c>
      <c r="G195">
        <v>0</v>
      </c>
      <c r="H195">
        <v>0</v>
      </c>
      <c r="I195">
        <v>45</v>
      </c>
      <c r="J195">
        <v>173</v>
      </c>
      <c r="K195">
        <v>167</v>
      </c>
      <c r="L195">
        <v>230</v>
      </c>
      <c r="M195">
        <v>76.6666666666667</v>
      </c>
    </row>
    <row r="196" spans="1:13" x14ac:dyDescent="0.2">
      <c r="A196" t="s">
        <v>1139</v>
      </c>
      <c r="B196" t="s">
        <v>1092</v>
      </c>
      <c r="C196" t="s">
        <v>1117</v>
      </c>
      <c r="D196">
        <v>1099</v>
      </c>
      <c r="E196">
        <v>0</v>
      </c>
      <c r="F196">
        <v>0</v>
      </c>
      <c r="G196">
        <v>0</v>
      </c>
      <c r="H196">
        <v>0</v>
      </c>
      <c r="I196">
        <v>36</v>
      </c>
      <c r="J196">
        <v>200</v>
      </c>
      <c r="K196">
        <v>194</v>
      </c>
      <c r="L196">
        <v>236</v>
      </c>
      <c r="M196">
        <v>78.6666666666667</v>
      </c>
    </row>
    <row r="197" spans="1:13" x14ac:dyDescent="0.2">
      <c r="A197" t="s">
        <v>1139</v>
      </c>
      <c r="B197" t="s">
        <v>1092</v>
      </c>
      <c r="C197" t="s">
        <v>424</v>
      </c>
      <c r="D197">
        <v>1845</v>
      </c>
      <c r="E197">
        <v>863</v>
      </c>
      <c r="F197">
        <v>847</v>
      </c>
      <c r="G197">
        <v>29</v>
      </c>
      <c r="H197">
        <v>0</v>
      </c>
      <c r="I197">
        <v>100</v>
      </c>
      <c r="J197">
        <v>231</v>
      </c>
      <c r="K197">
        <v>220</v>
      </c>
      <c r="L197">
        <v>1194</v>
      </c>
      <c r="M197">
        <v>398</v>
      </c>
    </row>
    <row r="198" spans="1:13" x14ac:dyDescent="0.2">
      <c r="A198" t="s">
        <v>1139</v>
      </c>
      <c r="B198" t="s">
        <v>1092</v>
      </c>
      <c r="C198" t="s">
        <v>424</v>
      </c>
      <c r="D198">
        <v>1845</v>
      </c>
      <c r="E198">
        <v>12</v>
      </c>
      <c r="F198">
        <v>12</v>
      </c>
      <c r="G198">
        <v>0</v>
      </c>
      <c r="H198">
        <v>0</v>
      </c>
      <c r="I198">
        <v>10</v>
      </c>
      <c r="J198">
        <v>3</v>
      </c>
      <c r="K198">
        <v>3</v>
      </c>
      <c r="L198">
        <v>25</v>
      </c>
      <c r="M198">
        <v>8.3333333333333304</v>
      </c>
    </row>
    <row r="199" spans="1:13" x14ac:dyDescent="0.2">
      <c r="A199" t="s">
        <v>1139</v>
      </c>
      <c r="B199" t="s">
        <v>1092</v>
      </c>
      <c r="C199" t="s">
        <v>36</v>
      </c>
      <c r="D199">
        <v>1839</v>
      </c>
      <c r="E199">
        <v>369</v>
      </c>
      <c r="F199">
        <v>338</v>
      </c>
      <c r="G199">
        <v>18</v>
      </c>
      <c r="H199">
        <v>17</v>
      </c>
      <c r="I199">
        <v>90</v>
      </c>
      <c r="J199">
        <v>194</v>
      </c>
      <c r="K199">
        <v>178</v>
      </c>
      <c r="L199">
        <v>653</v>
      </c>
      <c r="M199">
        <v>217.666666666667</v>
      </c>
    </row>
    <row r="200" spans="1:13" x14ac:dyDescent="0.2">
      <c r="A200" t="s">
        <v>1139</v>
      </c>
      <c r="B200" t="s">
        <v>1092</v>
      </c>
      <c r="C200" t="s">
        <v>36</v>
      </c>
      <c r="D200">
        <v>1839</v>
      </c>
      <c r="E200">
        <v>3699</v>
      </c>
      <c r="F200">
        <v>3602</v>
      </c>
      <c r="G200">
        <v>220</v>
      </c>
      <c r="H200">
        <v>109</v>
      </c>
      <c r="I200">
        <v>90</v>
      </c>
      <c r="J200">
        <v>179</v>
      </c>
      <c r="K200">
        <v>170</v>
      </c>
      <c r="L200">
        <v>3968</v>
      </c>
      <c r="M200">
        <v>1322.6666666666699</v>
      </c>
    </row>
    <row r="201" spans="1:13" x14ac:dyDescent="0.2">
      <c r="A201" t="s">
        <v>1139</v>
      </c>
      <c r="B201" t="s">
        <v>1092</v>
      </c>
      <c r="C201" t="s">
        <v>36</v>
      </c>
      <c r="D201">
        <v>1839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4</v>
      </c>
      <c r="K201">
        <v>0</v>
      </c>
      <c r="L201">
        <v>4</v>
      </c>
      <c r="M201">
        <v>1.3333333333333299</v>
      </c>
    </row>
    <row r="202" spans="1:13" x14ac:dyDescent="0.2">
      <c r="A202" t="s">
        <v>1140</v>
      </c>
      <c r="B202" t="s">
        <v>1093</v>
      </c>
      <c r="C202" t="s">
        <v>428</v>
      </c>
      <c r="D202">
        <v>631</v>
      </c>
      <c r="E202">
        <v>1</v>
      </c>
      <c r="F202">
        <v>1</v>
      </c>
      <c r="G202">
        <v>0</v>
      </c>
      <c r="H202">
        <v>0</v>
      </c>
      <c r="I202">
        <v>12</v>
      </c>
      <c r="J202">
        <v>44</v>
      </c>
      <c r="K202">
        <v>44</v>
      </c>
      <c r="L202">
        <v>57</v>
      </c>
      <c r="M202">
        <v>19</v>
      </c>
    </row>
    <row r="203" spans="1:13" x14ac:dyDescent="0.2">
      <c r="A203" t="s">
        <v>1140</v>
      </c>
      <c r="B203" t="s">
        <v>1093</v>
      </c>
      <c r="C203" t="s">
        <v>432</v>
      </c>
      <c r="D203">
        <v>272</v>
      </c>
      <c r="E203">
        <v>321</v>
      </c>
      <c r="F203">
        <v>285</v>
      </c>
      <c r="G203">
        <v>54</v>
      </c>
      <c r="H203">
        <v>39</v>
      </c>
      <c r="I203">
        <v>36</v>
      </c>
      <c r="J203">
        <v>305</v>
      </c>
      <c r="K203">
        <v>213</v>
      </c>
      <c r="L203">
        <v>662</v>
      </c>
      <c r="M203">
        <v>220.666666666667</v>
      </c>
    </row>
    <row r="204" spans="1:13" x14ac:dyDescent="0.2">
      <c r="A204" t="s">
        <v>1140</v>
      </c>
      <c r="B204" t="s">
        <v>1093</v>
      </c>
      <c r="C204" t="s">
        <v>432</v>
      </c>
      <c r="D204">
        <v>272</v>
      </c>
      <c r="E204">
        <v>1141</v>
      </c>
      <c r="F204">
        <v>1084</v>
      </c>
      <c r="G204">
        <v>129</v>
      </c>
      <c r="H204">
        <v>101</v>
      </c>
      <c r="I204">
        <v>72</v>
      </c>
      <c r="J204">
        <v>322</v>
      </c>
      <c r="K204">
        <v>275</v>
      </c>
      <c r="L204">
        <v>1535</v>
      </c>
      <c r="M204">
        <v>511.66666666666703</v>
      </c>
    </row>
    <row r="205" spans="1:13" x14ac:dyDescent="0.2">
      <c r="A205" t="s">
        <v>1139</v>
      </c>
      <c r="B205" t="s">
        <v>1092</v>
      </c>
      <c r="C205" t="s">
        <v>1118</v>
      </c>
      <c r="D205">
        <v>1101</v>
      </c>
      <c r="E205">
        <v>10378</v>
      </c>
      <c r="F205">
        <v>9067</v>
      </c>
      <c r="G205">
        <v>1134</v>
      </c>
      <c r="H205">
        <v>0</v>
      </c>
      <c r="I205">
        <v>750</v>
      </c>
      <c r="J205">
        <v>314</v>
      </c>
      <c r="K205">
        <v>284</v>
      </c>
      <c r="L205">
        <v>11442</v>
      </c>
      <c r="M205">
        <v>3814</v>
      </c>
    </row>
    <row r="206" spans="1:13" x14ac:dyDescent="0.2">
      <c r="A206" t="s">
        <v>1139</v>
      </c>
      <c r="B206" t="s">
        <v>1092</v>
      </c>
      <c r="C206" t="s">
        <v>1118</v>
      </c>
      <c r="D206">
        <v>1101</v>
      </c>
      <c r="E206">
        <v>12045</v>
      </c>
      <c r="F206">
        <v>11700</v>
      </c>
      <c r="G206">
        <v>280</v>
      </c>
      <c r="H206">
        <v>0</v>
      </c>
      <c r="I206">
        <v>606</v>
      </c>
      <c r="J206">
        <v>290</v>
      </c>
      <c r="K206">
        <v>273</v>
      </c>
      <c r="L206">
        <v>12941</v>
      </c>
      <c r="M206">
        <v>4313.6666666666697</v>
      </c>
    </row>
    <row r="207" spans="1:13" x14ac:dyDescent="0.2">
      <c r="A207" t="s">
        <v>1139</v>
      </c>
      <c r="B207" t="s">
        <v>1092</v>
      </c>
      <c r="C207" t="s">
        <v>1118</v>
      </c>
      <c r="D207">
        <v>1101</v>
      </c>
      <c r="E207">
        <v>10791</v>
      </c>
      <c r="F207">
        <v>9757</v>
      </c>
      <c r="G207">
        <v>810</v>
      </c>
      <c r="H207">
        <v>0</v>
      </c>
      <c r="I207">
        <v>696</v>
      </c>
      <c r="J207">
        <v>277</v>
      </c>
      <c r="K207">
        <v>267</v>
      </c>
      <c r="L207">
        <v>11764</v>
      </c>
      <c r="M207">
        <v>3921.3333333333298</v>
      </c>
    </row>
    <row r="208" spans="1:13" x14ac:dyDescent="0.2">
      <c r="A208" t="s">
        <v>1139</v>
      </c>
      <c r="B208" t="s">
        <v>1092</v>
      </c>
      <c r="C208" t="s">
        <v>1119</v>
      </c>
      <c r="D208">
        <v>1133</v>
      </c>
      <c r="E208">
        <v>10</v>
      </c>
      <c r="F208">
        <v>10</v>
      </c>
      <c r="G208">
        <v>0</v>
      </c>
      <c r="H208">
        <v>0</v>
      </c>
      <c r="I208">
        <v>714</v>
      </c>
      <c r="J208">
        <v>253</v>
      </c>
      <c r="K208">
        <v>228</v>
      </c>
      <c r="L208">
        <v>977</v>
      </c>
      <c r="M208">
        <v>325.66666666666703</v>
      </c>
    </row>
    <row r="209" spans="1:13" x14ac:dyDescent="0.2">
      <c r="A209" t="s">
        <v>1139</v>
      </c>
      <c r="B209" t="s">
        <v>1092</v>
      </c>
      <c r="C209" t="s">
        <v>1119</v>
      </c>
      <c r="D209">
        <v>1133</v>
      </c>
      <c r="E209">
        <v>106</v>
      </c>
      <c r="F209">
        <v>106</v>
      </c>
      <c r="G209">
        <v>1</v>
      </c>
      <c r="H209">
        <v>0</v>
      </c>
      <c r="I209">
        <v>576</v>
      </c>
      <c r="J209">
        <v>242</v>
      </c>
      <c r="K209">
        <v>227</v>
      </c>
      <c r="L209">
        <v>924</v>
      </c>
      <c r="M209">
        <v>308</v>
      </c>
    </row>
    <row r="210" spans="1:13" x14ac:dyDescent="0.2">
      <c r="A210" t="s">
        <v>1139</v>
      </c>
      <c r="B210" t="s">
        <v>1092</v>
      </c>
      <c r="C210" t="s">
        <v>1119</v>
      </c>
      <c r="D210">
        <v>1133</v>
      </c>
      <c r="E210">
        <v>5</v>
      </c>
      <c r="F210">
        <v>4</v>
      </c>
      <c r="G210">
        <v>0</v>
      </c>
      <c r="H210">
        <v>0</v>
      </c>
      <c r="I210">
        <v>702</v>
      </c>
      <c r="J210">
        <v>237</v>
      </c>
      <c r="K210">
        <v>229</v>
      </c>
      <c r="L210">
        <v>944</v>
      </c>
      <c r="M210">
        <v>314.66666666666703</v>
      </c>
    </row>
    <row r="211" spans="1:13" x14ac:dyDescent="0.2">
      <c r="A211" t="s">
        <v>1139</v>
      </c>
      <c r="B211" t="s">
        <v>1092</v>
      </c>
      <c r="C211" t="s">
        <v>440</v>
      </c>
      <c r="D211">
        <v>1841</v>
      </c>
      <c r="E211">
        <v>2019</v>
      </c>
      <c r="F211">
        <v>2000</v>
      </c>
      <c r="G211">
        <v>39</v>
      </c>
      <c r="H211">
        <v>0</v>
      </c>
      <c r="I211">
        <v>110</v>
      </c>
      <c r="J211">
        <v>201</v>
      </c>
      <c r="K211">
        <v>195</v>
      </c>
      <c r="L211">
        <v>2330</v>
      </c>
      <c r="M211">
        <v>776.66666666666697</v>
      </c>
    </row>
    <row r="212" spans="1:13" x14ac:dyDescent="0.2">
      <c r="A212" t="s">
        <v>1139</v>
      </c>
      <c r="B212" t="s">
        <v>1092</v>
      </c>
      <c r="C212" t="s">
        <v>440</v>
      </c>
      <c r="D212">
        <v>1841</v>
      </c>
      <c r="E212">
        <v>12</v>
      </c>
      <c r="F212">
        <v>12</v>
      </c>
      <c r="G212">
        <v>0</v>
      </c>
      <c r="H212">
        <v>0</v>
      </c>
      <c r="I212">
        <v>10</v>
      </c>
      <c r="J212">
        <v>2</v>
      </c>
      <c r="K212">
        <v>2</v>
      </c>
      <c r="L212">
        <v>24</v>
      </c>
      <c r="M212">
        <v>8</v>
      </c>
    </row>
    <row r="213" spans="1:13" x14ac:dyDescent="0.2">
      <c r="A213" t="s">
        <v>1139</v>
      </c>
      <c r="B213" t="s">
        <v>1092</v>
      </c>
      <c r="C213" t="s">
        <v>69</v>
      </c>
      <c r="D213">
        <v>1953</v>
      </c>
      <c r="E213">
        <v>1036</v>
      </c>
      <c r="F213">
        <v>949</v>
      </c>
      <c r="G213">
        <v>41</v>
      </c>
      <c r="H213">
        <v>0</v>
      </c>
      <c r="I213">
        <v>36</v>
      </c>
      <c r="J213">
        <v>282</v>
      </c>
      <c r="K213">
        <v>261</v>
      </c>
      <c r="L213">
        <v>1354</v>
      </c>
      <c r="M213">
        <v>451.33333333333297</v>
      </c>
    </row>
    <row r="214" spans="1:13" x14ac:dyDescent="0.2">
      <c r="A214" t="s">
        <v>1139</v>
      </c>
      <c r="B214" t="s">
        <v>1092</v>
      </c>
      <c r="C214" t="s">
        <v>69</v>
      </c>
      <c r="D214">
        <v>1953</v>
      </c>
      <c r="E214">
        <v>5677</v>
      </c>
      <c r="F214">
        <v>5378</v>
      </c>
      <c r="G214">
        <v>260</v>
      </c>
      <c r="H214">
        <v>0</v>
      </c>
      <c r="I214">
        <v>24</v>
      </c>
      <c r="J214">
        <v>312</v>
      </c>
      <c r="K214">
        <v>294</v>
      </c>
      <c r="L214">
        <v>6013</v>
      </c>
      <c r="M214">
        <v>2004.3333333333301</v>
      </c>
    </row>
    <row r="215" spans="1:13" x14ac:dyDescent="0.2">
      <c r="A215" t="s">
        <v>1139</v>
      </c>
      <c r="B215" t="s">
        <v>1092</v>
      </c>
      <c r="C215" t="s">
        <v>69</v>
      </c>
      <c r="D215">
        <v>1953</v>
      </c>
      <c r="E215">
        <v>1700</v>
      </c>
      <c r="F215">
        <v>1544</v>
      </c>
      <c r="G215">
        <v>123</v>
      </c>
      <c r="H215">
        <v>0</v>
      </c>
      <c r="I215">
        <v>30</v>
      </c>
      <c r="J215">
        <v>307</v>
      </c>
      <c r="K215">
        <v>297</v>
      </c>
      <c r="L215">
        <v>2037</v>
      </c>
      <c r="M215">
        <v>679</v>
      </c>
    </row>
    <row r="216" spans="1:13" x14ac:dyDescent="0.2">
      <c r="A216" t="s">
        <v>1140</v>
      </c>
      <c r="B216" t="s">
        <v>1093</v>
      </c>
      <c r="C216" t="s">
        <v>444</v>
      </c>
      <c r="D216">
        <v>117</v>
      </c>
      <c r="E216">
        <v>307</v>
      </c>
      <c r="F216">
        <v>288</v>
      </c>
      <c r="G216">
        <v>8</v>
      </c>
      <c r="H216">
        <v>1</v>
      </c>
      <c r="I216">
        <v>48</v>
      </c>
      <c r="J216">
        <v>85</v>
      </c>
      <c r="K216">
        <v>64</v>
      </c>
      <c r="L216">
        <v>440</v>
      </c>
      <c r="M216">
        <v>146.666666666667</v>
      </c>
    </row>
    <row r="217" spans="1:13" x14ac:dyDescent="0.2">
      <c r="A217" t="s">
        <v>1140</v>
      </c>
      <c r="B217" t="s">
        <v>1093</v>
      </c>
      <c r="C217" t="s">
        <v>444</v>
      </c>
      <c r="D217">
        <v>117</v>
      </c>
      <c r="E217">
        <v>2177</v>
      </c>
      <c r="F217">
        <v>2044</v>
      </c>
      <c r="G217">
        <v>100</v>
      </c>
      <c r="H217">
        <v>17</v>
      </c>
      <c r="I217">
        <v>72</v>
      </c>
      <c r="J217">
        <v>317</v>
      </c>
      <c r="K217">
        <v>265</v>
      </c>
      <c r="L217">
        <v>2566</v>
      </c>
      <c r="M217">
        <v>855.33333333333303</v>
      </c>
    </row>
    <row r="218" spans="1:13" x14ac:dyDescent="0.2">
      <c r="A218" t="s">
        <v>1139</v>
      </c>
      <c r="B218" t="s">
        <v>1092</v>
      </c>
      <c r="C218" t="s">
        <v>278</v>
      </c>
      <c r="D218">
        <v>1884</v>
      </c>
      <c r="E218">
        <v>8</v>
      </c>
      <c r="F218">
        <v>8</v>
      </c>
      <c r="G218">
        <v>0</v>
      </c>
      <c r="H218">
        <v>0</v>
      </c>
      <c r="I218">
        <v>108</v>
      </c>
      <c r="J218">
        <v>198</v>
      </c>
      <c r="K218">
        <v>182</v>
      </c>
      <c r="L218">
        <v>314</v>
      </c>
      <c r="M218">
        <v>104.666666666667</v>
      </c>
    </row>
    <row r="219" spans="1:13" x14ac:dyDescent="0.2">
      <c r="A219" t="s">
        <v>1139</v>
      </c>
      <c r="B219" t="s">
        <v>1092</v>
      </c>
      <c r="C219" t="s">
        <v>274</v>
      </c>
      <c r="D219">
        <v>1885</v>
      </c>
      <c r="E219">
        <v>2</v>
      </c>
      <c r="F219">
        <v>2</v>
      </c>
      <c r="G219">
        <v>0</v>
      </c>
      <c r="H219">
        <v>0</v>
      </c>
      <c r="I219">
        <v>192</v>
      </c>
      <c r="J219">
        <v>201</v>
      </c>
      <c r="K219">
        <v>183</v>
      </c>
      <c r="L219">
        <v>395</v>
      </c>
      <c r="M219">
        <v>131.666666666667</v>
      </c>
    </row>
    <row r="220" spans="1:13" x14ac:dyDescent="0.2">
      <c r="A220" t="s">
        <v>1139</v>
      </c>
      <c r="B220" t="s">
        <v>1092</v>
      </c>
      <c r="C220" t="s">
        <v>274</v>
      </c>
      <c r="D220">
        <v>1885</v>
      </c>
      <c r="E220">
        <v>0</v>
      </c>
      <c r="F220">
        <v>0</v>
      </c>
      <c r="G220">
        <v>0</v>
      </c>
      <c r="H220">
        <v>0</v>
      </c>
      <c r="I220">
        <v>12</v>
      </c>
      <c r="J220">
        <v>2</v>
      </c>
      <c r="K220">
        <v>2</v>
      </c>
      <c r="L220">
        <v>14</v>
      </c>
      <c r="M220">
        <v>4.6666666666666696</v>
      </c>
    </row>
    <row r="221" spans="1:13" x14ac:dyDescent="0.2">
      <c r="A221" t="s">
        <v>1139</v>
      </c>
      <c r="B221" t="s">
        <v>1092</v>
      </c>
      <c r="C221" t="s">
        <v>1120</v>
      </c>
      <c r="D221">
        <v>1420</v>
      </c>
      <c r="E221">
        <v>1918</v>
      </c>
      <c r="F221">
        <v>1625</v>
      </c>
      <c r="G221">
        <v>238</v>
      </c>
      <c r="H221">
        <v>0</v>
      </c>
      <c r="I221">
        <v>80</v>
      </c>
      <c r="J221">
        <v>242</v>
      </c>
      <c r="K221">
        <v>225</v>
      </c>
      <c r="L221">
        <v>2240</v>
      </c>
      <c r="M221">
        <v>746.66666666666697</v>
      </c>
    </row>
    <row r="222" spans="1:13" x14ac:dyDescent="0.2">
      <c r="A222" t="s">
        <v>1139</v>
      </c>
      <c r="B222" t="s">
        <v>1092</v>
      </c>
      <c r="C222" t="s">
        <v>1120</v>
      </c>
      <c r="D222">
        <v>1420</v>
      </c>
      <c r="E222">
        <v>344</v>
      </c>
      <c r="F222">
        <v>323</v>
      </c>
      <c r="G222">
        <v>11</v>
      </c>
      <c r="H222">
        <v>0</v>
      </c>
      <c r="I222">
        <v>64</v>
      </c>
      <c r="J222">
        <v>179</v>
      </c>
      <c r="K222">
        <v>170</v>
      </c>
      <c r="L222">
        <v>587</v>
      </c>
      <c r="M222">
        <v>195.666666666667</v>
      </c>
    </row>
    <row r="223" spans="1:13" x14ac:dyDescent="0.2">
      <c r="A223" t="s">
        <v>1139</v>
      </c>
      <c r="B223" t="s">
        <v>1092</v>
      </c>
      <c r="C223" t="s">
        <v>1120</v>
      </c>
      <c r="D223">
        <v>1420</v>
      </c>
      <c r="E223">
        <v>1928</v>
      </c>
      <c r="F223">
        <v>1690</v>
      </c>
      <c r="G223">
        <v>153</v>
      </c>
      <c r="H223">
        <v>0</v>
      </c>
      <c r="I223">
        <v>112</v>
      </c>
      <c r="J223">
        <v>240</v>
      </c>
      <c r="K223">
        <v>229</v>
      </c>
      <c r="L223">
        <v>2280</v>
      </c>
      <c r="M223">
        <v>760</v>
      </c>
    </row>
    <row r="224" spans="1:13" x14ac:dyDescent="0.2">
      <c r="A224" t="s">
        <v>1139</v>
      </c>
      <c r="B224" t="s">
        <v>1092</v>
      </c>
      <c r="C224" t="s">
        <v>1121</v>
      </c>
      <c r="D224">
        <v>1422</v>
      </c>
      <c r="E224">
        <v>15</v>
      </c>
      <c r="F224">
        <v>15</v>
      </c>
      <c r="G224">
        <v>0</v>
      </c>
      <c r="H224">
        <v>0</v>
      </c>
      <c r="I224">
        <v>0</v>
      </c>
      <c r="J224">
        <v>204</v>
      </c>
      <c r="K224">
        <v>191</v>
      </c>
      <c r="L224">
        <v>219</v>
      </c>
      <c r="M224">
        <v>73</v>
      </c>
    </row>
    <row r="225" spans="1:13" x14ac:dyDescent="0.2">
      <c r="A225" t="s">
        <v>1139</v>
      </c>
      <c r="B225" t="s">
        <v>1092</v>
      </c>
      <c r="C225" t="s">
        <v>1121</v>
      </c>
      <c r="D225">
        <v>1422</v>
      </c>
      <c r="E225">
        <v>108</v>
      </c>
      <c r="F225">
        <v>108</v>
      </c>
      <c r="G225">
        <v>1</v>
      </c>
      <c r="H225">
        <v>0</v>
      </c>
      <c r="I225">
        <v>0</v>
      </c>
      <c r="J225">
        <v>156</v>
      </c>
      <c r="K225">
        <v>149</v>
      </c>
      <c r="L225">
        <v>264</v>
      </c>
      <c r="M225">
        <v>88</v>
      </c>
    </row>
    <row r="226" spans="1:13" x14ac:dyDescent="0.2">
      <c r="A226" t="s">
        <v>1139</v>
      </c>
      <c r="B226" t="s">
        <v>1092</v>
      </c>
      <c r="C226" t="s">
        <v>1121</v>
      </c>
      <c r="D226">
        <v>1422</v>
      </c>
      <c r="E226">
        <v>11</v>
      </c>
      <c r="F226">
        <v>4</v>
      </c>
      <c r="G226">
        <v>3</v>
      </c>
      <c r="H226">
        <v>0</v>
      </c>
      <c r="I226">
        <v>0</v>
      </c>
      <c r="J226">
        <v>202</v>
      </c>
      <c r="K226">
        <v>194</v>
      </c>
      <c r="L226">
        <v>213</v>
      </c>
      <c r="M226">
        <v>71</v>
      </c>
    </row>
    <row r="227" spans="1:13" x14ac:dyDescent="0.2">
      <c r="A227" t="s">
        <v>1140</v>
      </c>
      <c r="B227" t="s">
        <v>1093</v>
      </c>
      <c r="C227" t="s">
        <v>448</v>
      </c>
      <c r="D227">
        <v>199</v>
      </c>
      <c r="E227">
        <v>265</v>
      </c>
      <c r="F227">
        <v>239</v>
      </c>
      <c r="G227">
        <v>19</v>
      </c>
      <c r="H227">
        <v>2</v>
      </c>
      <c r="I227">
        <v>4</v>
      </c>
      <c r="J227">
        <v>280</v>
      </c>
      <c r="K227">
        <v>181</v>
      </c>
      <c r="L227">
        <v>549</v>
      </c>
      <c r="M227">
        <v>183</v>
      </c>
    </row>
    <row r="228" spans="1:13" x14ac:dyDescent="0.2">
      <c r="A228" t="s">
        <v>1140</v>
      </c>
      <c r="B228" t="s">
        <v>1093</v>
      </c>
      <c r="C228" t="s">
        <v>452</v>
      </c>
      <c r="D228">
        <v>207</v>
      </c>
      <c r="E228">
        <v>711</v>
      </c>
      <c r="F228">
        <v>621</v>
      </c>
      <c r="G228">
        <v>58</v>
      </c>
      <c r="H228">
        <v>3</v>
      </c>
      <c r="I228">
        <v>4</v>
      </c>
      <c r="J228">
        <v>328</v>
      </c>
      <c r="K228">
        <v>207</v>
      </c>
      <c r="L228">
        <v>1043</v>
      </c>
      <c r="M228">
        <v>347.66666666666703</v>
      </c>
    </row>
    <row r="229" spans="1:13" x14ac:dyDescent="0.2">
      <c r="A229" t="s">
        <v>1140</v>
      </c>
      <c r="B229" t="s">
        <v>1093</v>
      </c>
      <c r="C229" t="s">
        <v>452</v>
      </c>
      <c r="D229">
        <v>207</v>
      </c>
      <c r="E229">
        <v>102</v>
      </c>
      <c r="F229">
        <v>87</v>
      </c>
      <c r="G229">
        <v>12</v>
      </c>
      <c r="H229">
        <v>1</v>
      </c>
      <c r="I229">
        <v>12</v>
      </c>
      <c r="J229">
        <v>114</v>
      </c>
      <c r="K229">
        <v>79</v>
      </c>
      <c r="L229">
        <v>228</v>
      </c>
      <c r="M229">
        <v>76</v>
      </c>
    </row>
    <row r="230" spans="1:13" x14ac:dyDescent="0.2">
      <c r="A230" t="s">
        <v>1139</v>
      </c>
      <c r="B230" t="s">
        <v>1092</v>
      </c>
      <c r="C230" t="s">
        <v>269</v>
      </c>
      <c r="D230">
        <v>1911</v>
      </c>
      <c r="E230">
        <v>1058</v>
      </c>
      <c r="F230">
        <v>977</v>
      </c>
      <c r="G230">
        <v>73</v>
      </c>
      <c r="H230">
        <v>21</v>
      </c>
      <c r="I230">
        <v>70</v>
      </c>
      <c r="J230">
        <v>274</v>
      </c>
      <c r="K230">
        <v>262</v>
      </c>
      <c r="L230">
        <v>1402</v>
      </c>
      <c r="M230">
        <v>467.33333333333297</v>
      </c>
    </row>
    <row r="231" spans="1:13" x14ac:dyDescent="0.2">
      <c r="A231" t="s">
        <v>1140</v>
      </c>
      <c r="B231" t="s">
        <v>1093</v>
      </c>
      <c r="C231" t="s">
        <v>486</v>
      </c>
      <c r="D231">
        <v>837</v>
      </c>
      <c r="E231">
        <v>82</v>
      </c>
      <c r="F231">
        <v>66</v>
      </c>
      <c r="G231">
        <v>12</v>
      </c>
      <c r="H231">
        <v>2</v>
      </c>
      <c r="I231">
        <v>96</v>
      </c>
      <c r="J231">
        <v>277</v>
      </c>
      <c r="K231">
        <v>192</v>
      </c>
      <c r="L231">
        <v>455</v>
      </c>
      <c r="M231">
        <v>151.666666666667</v>
      </c>
    </row>
    <row r="232" spans="1:13" x14ac:dyDescent="0.2">
      <c r="A232" t="s">
        <v>1140</v>
      </c>
      <c r="B232" t="s">
        <v>1093</v>
      </c>
      <c r="C232" t="s">
        <v>499</v>
      </c>
      <c r="D232">
        <v>682</v>
      </c>
      <c r="E232">
        <v>14</v>
      </c>
      <c r="F232">
        <v>14</v>
      </c>
      <c r="G232">
        <v>0</v>
      </c>
      <c r="H232">
        <v>0</v>
      </c>
      <c r="I232">
        <v>12</v>
      </c>
      <c r="J232">
        <v>17</v>
      </c>
      <c r="K232">
        <v>17</v>
      </c>
      <c r="L232">
        <v>43</v>
      </c>
      <c r="M232">
        <v>14.3333333333333</v>
      </c>
    </row>
    <row r="233" spans="1:13" x14ac:dyDescent="0.2">
      <c r="A233" t="s">
        <v>1140</v>
      </c>
      <c r="B233" t="s">
        <v>1093</v>
      </c>
      <c r="C233" t="s">
        <v>495</v>
      </c>
      <c r="D233">
        <v>565</v>
      </c>
      <c r="E233">
        <v>486</v>
      </c>
      <c r="F233">
        <v>482</v>
      </c>
      <c r="G233">
        <v>4</v>
      </c>
      <c r="H233">
        <v>0</v>
      </c>
      <c r="I233">
        <v>6</v>
      </c>
      <c r="J233">
        <v>238</v>
      </c>
      <c r="K233">
        <v>234</v>
      </c>
      <c r="L233">
        <v>730</v>
      </c>
      <c r="M233">
        <v>243.333333333333</v>
      </c>
    </row>
    <row r="234" spans="1:13" x14ac:dyDescent="0.2">
      <c r="A234" t="s">
        <v>1140</v>
      </c>
      <c r="B234" t="s">
        <v>1093</v>
      </c>
      <c r="C234" t="s">
        <v>495</v>
      </c>
      <c r="D234">
        <v>565</v>
      </c>
      <c r="E234">
        <v>933</v>
      </c>
      <c r="F234">
        <v>848</v>
      </c>
      <c r="G234">
        <v>43</v>
      </c>
      <c r="H234">
        <v>0</v>
      </c>
      <c r="I234">
        <v>9</v>
      </c>
      <c r="J234">
        <v>254</v>
      </c>
      <c r="K234">
        <v>230</v>
      </c>
      <c r="L234">
        <v>1196</v>
      </c>
      <c r="M234">
        <v>398.66666666666703</v>
      </c>
    </row>
    <row r="235" spans="1:13" x14ac:dyDescent="0.2">
      <c r="A235" t="s">
        <v>1140</v>
      </c>
      <c r="B235" t="s">
        <v>1093</v>
      </c>
      <c r="C235" t="s">
        <v>507</v>
      </c>
      <c r="D235">
        <v>642</v>
      </c>
      <c r="E235">
        <v>340</v>
      </c>
      <c r="F235">
        <v>340</v>
      </c>
      <c r="G235">
        <v>41</v>
      </c>
      <c r="H235">
        <v>0</v>
      </c>
      <c r="I235">
        <v>12</v>
      </c>
      <c r="J235">
        <v>138</v>
      </c>
      <c r="K235">
        <v>138</v>
      </c>
      <c r="L235">
        <v>490</v>
      </c>
      <c r="M235">
        <v>163.333333333333</v>
      </c>
    </row>
    <row r="236" spans="1:13" x14ac:dyDescent="0.2">
      <c r="A236" t="s">
        <v>1139</v>
      </c>
      <c r="B236" t="s">
        <v>1092</v>
      </c>
      <c r="C236" t="s">
        <v>130</v>
      </c>
      <c r="D236">
        <v>1472</v>
      </c>
      <c r="E236">
        <v>9220</v>
      </c>
      <c r="F236">
        <v>7960</v>
      </c>
      <c r="G236">
        <v>987</v>
      </c>
      <c r="H236">
        <v>13</v>
      </c>
      <c r="I236">
        <v>204</v>
      </c>
      <c r="J236">
        <v>367</v>
      </c>
      <c r="K236">
        <v>343</v>
      </c>
      <c r="L236">
        <v>9791</v>
      </c>
      <c r="M236">
        <v>3263.6666666666702</v>
      </c>
    </row>
    <row r="237" spans="1:13" x14ac:dyDescent="0.2">
      <c r="A237" t="s">
        <v>1139</v>
      </c>
      <c r="B237" t="s">
        <v>1092</v>
      </c>
      <c r="C237" t="s">
        <v>130</v>
      </c>
      <c r="D237">
        <v>1472</v>
      </c>
      <c r="E237">
        <v>7466</v>
      </c>
      <c r="F237">
        <v>7074</v>
      </c>
      <c r="G237">
        <v>306</v>
      </c>
      <c r="H237">
        <v>12</v>
      </c>
      <c r="I237">
        <v>102</v>
      </c>
      <c r="J237">
        <v>319</v>
      </c>
      <c r="K237">
        <v>300</v>
      </c>
      <c r="L237">
        <v>7887</v>
      </c>
      <c r="M237">
        <v>2629</v>
      </c>
    </row>
    <row r="238" spans="1:13" x14ac:dyDescent="0.2">
      <c r="A238" t="s">
        <v>1139</v>
      </c>
      <c r="B238" t="s">
        <v>1092</v>
      </c>
      <c r="C238" t="s">
        <v>130</v>
      </c>
      <c r="D238">
        <v>1472</v>
      </c>
      <c r="E238">
        <v>9398</v>
      </c>
      <c r="F238">
        <v>8289</v>
      </c>
      <c r="G238">
        <v>819</v>
      </c>
      <c r="H238">
        <v>7</v>
      </c>
      <c r="I238">
        <v>126</v>
      </c>
      <c r="J238">
        <v>348</v>
      </c>
      <c r="K238">
        <v>337</v>
      </c>
      <c r="L238">
        <v>9872</v>
      </c>
      <c r="M238">
        <v>3290.6666666666702</v>
      </c>
    </row>
    <row r="239" spans="1:13" x14ac:dyDescent="0.2">
      <c r="A239" t="s">
        <v>1140</v>
      </c>
      <c r="B239" t="s">
        <v>1093</v>
      </c>
      <c r="C239" t="s">
        <v>519</v>
      </c>
      <c r="D239">
        <v>420</v>
      </c>
      <c r="E239">
        <v>819</v>
      </c>
      <c r="F239">
        <v>755</v>
      </c>
      <c r="G239">
        <v>163</v>
      </c>
      <c r="H239">
        <v>723</v>
      </c>
      <c r="I239">
        <v>84</v>
      </c>
      <c r="J239">
        <v>329</v>
      </c>
      <c r="K239">
        <v>208</v>
      </c>
      <c r="L239">
        <v>1232</v>
      </c>
      <c r="M239">
        <v>410.66666666666703</v>
      </c>
    </row>
    <row r="240" spans="1:13" x14ac:dyDescent="0.2">
      <c r="A240" t="s">
        <v>1140</v>
      </c>
      <c r="B240" t="s">
        <v>1093</v>
      </c>
      <c r="C240" t="s">
        <v>1122</v>
      </c>
      <c r="D240">
        <v>521</v>
      </c>
      <c r="E240">
        <v>0</v>
      </c>
      <c r="F240">
        <v>0</v>
      </c>
      <c r="G240">
        <v>0</v>
      </c>
      <c r="H240">
        <v>0</v>
      </c>
      <c r="I240">
        <v>12</v>
      </c>
      <c r="J240">
        <v>0</v>
      </c>
      <c r="K240">
        <v>0</v>
      </c>
      <c r="L240">
        <v>12</v>
      </c>
      <c r="M240">
        <v>4</v>
      </c>
    </row>
    <row r="241" spans="1:13" x14ac:dyDescent="0.2">
      <c r="A241" t="s">
        <v>1140</v>
      </c>
      <c r="B241" t="s">
        <v>1093</v>
      </c>
      <c r="C241" t="s">
        <v>1122</v>
      </c>
      <c r="D241">
        <v>521</v>
      </c>
      <c r="E241">
        <v>0</v>
      </c>
      <c r="F241">
        <v>0</v>
      </c>
      <c r="G241">
        <v>0</v>
      </c>
      <c r="H241">
        <v>0</v>
      </c>
      <c r="I241">
        <v>12</v>
      </c>
      <c r="J241">
        <v>0</v>
      </c>
      <c r="K241">
        <v>0</v>
      </c>
      <c r="L241">
        <v>12</v>
      </c>
      <c r="M241">
        <v>4</v>
      </c>
    </row>
    <row r="242" spans="1:13" x14ac:dyDescent="0.2">
      <c r="A242" t="s">
        <v>1139</v>
      </c>
      <c r="B242" t="s">
        <v>1092</v>
      </c>
      <c r="C242" t="s">
        <v>166</v>
      </c>
      <c r="D242">
        <v>1856</v>
      </c>
      <c r="E242">
        <v>2011</v>
      </c>
      <c r="F242">
        <v>1994</v>
      </c>
      <c r="G242">
        <v>37</v>
      </c>
      <c r="H242">
        <v>0</v>
      </c>
      <c r="I242">
        <v>72</v>
      </c>
      <c r="J242">
        <v>222</v>
      </c>
      <c r="K242">
        <v>216</v>
      </c>
      <c r="L242">
        <v>2305</v>
      </c>
      <c r="M242">
        <v>768.33333333333303</v>
      </c>
    </row>
    <row r="243" spans="1:13" x14ac:dyDescent="0.2">
      <c r="A243" t="s">
        <v>1139</v>
      </c>
      <c r="B243" t="s">
        <v>1092</v>
      </c>
      <c r="C243" t="s">
        <v>166</v>
      </c>
      <c r="D243">
        <v>1856</v>
      </c>
      <c r="E243">
        <v>12</v>
      </c>
      <c r="F243">
        <v>12</v>
      </c>
      <c r="G243">
        <v>0</v>
      </c>
      <c r="H243">
        <v>0</v>
      </c>
      <c r="I243">
        <v>8</v>
      </c>
      <c r="J243">
        <v>3</v>
      </c>
      <c r="K243">
        <v>3</v>
      </c>
      <c r="L243">
        <v>23</v>
      </c>
      <c r="M243">
        <v>7.6666666666666696</v>
      </c>
    </row>
    <row r="244" spans="1:13" x14ac:dyDescent="0.2">
      <c r="A244" t="s">
        <v>1140</v>
      </c>
      <c r="B244" t="s">
        <v>1093</v>
      </c>
      <c r="C244" t="s">
        <v>1123</v>
      </c>
      <c r="D244">
        <v>193</v>
      </c>
      <c r="E244">
        <v>49</v>
      </c>
      <c r="F244">
        <v>49</v>
      </c>
      <c r="G244">
        <v>1</v>
      </c>
      <c r="H244">
        <v>0</v>
      </c>
      <c r="I244">
        <v>0</v>
      </c>
      <c r="J244">
        <v>2</v>
      </c>
      <c r="K244">
        <v>2</v>
      </c>
      <c r="L244">
        <v>51</v>
      </c>
      <c r="M244">
        <v>17</v>
      </c>
    </row>
    <row r="245" spans="1:13" x14ac:dyDescent="0.2">
      <c r="A245" t="s">
        <v>1140</v>
      </c>
      <c r="B245" t="s">
        <v>1093</v>
      </c>
      <c r="C245" t="s">
        <v>1124</v>
      </c>
      <c r="D245">
        <v>183</v>
      </c>
      <c r="E245">
        <v>1970</v>
      </c>
      <c r="F245">
        <v>1929</v>
      </c>
      <c r="G245">
        <v>155</v>
      </c>
      <c r="H245">
        <v>0</v>
      </c>
      <c r="I245">
        <v>72</v>
      </c>
      <c r="J245">
        <v>275</v>
      </c>
      <c r="K245">
        <v>262</v>
      </c>
      <c r="L245">
        <v>2317</v>
      </c>
      <c r="M245">
        <v>772.33333333333303</v>
      </c>
    </row>
    <row r="246" spans="1:13" x14ac:dyDescent="0.2">
      <c r="A246" t="s">
        <v>1139</v>
      </c>
      <c r="B246" t="s">
        <v>1092</v>
      </c>
      <c r="C246" t="s">
        <v>515</v>
      </c>
      <c r="D246">
        <v>1883</v>
      </c>
      <c r="E246">
        <v>1</v>
      </c>
      <c r="F246">
        <v>1</v>
      </c>
      <c r="G246">
        <v>0</v>
      </c>
      <c r="H246">
        <v>0</v>
      </c>
      <c r="I246">
        <v>156</v>
      </c>
      <c r="J246">
        <v>143</v>
      </c>
      <c r="K246">
        <v>126</v>
      </c>
      <c r="L246">
        <v>300</v>
      </c>
      <c r="M246">
        <v>100</v>
      </c>
    </row>
    <row r="247" spans="1:13" x14ac:dyDescent="0.2">
      <c r="A247" t="s">
        <v>1140</v>
      </c>
      <c r="B247" t="s">
        <v>1093</v>
      </c>
      <c r="C247" t="s">
        <v>546</v>
      </c>
      <c r="D247">
        <v>487</v>
      </c>
      <c r="E247">
        <v>1752</v>
      </c>
      <c r="F247">
        <v>1668</v>
      </c>
      <c r="G247">
        <v>59</v>
      </c>
      <c r="H247">
        <v>8</v>
      </c>
      <c r="I247">
        <v>24</v>
      </c>
      <c r="J247">
        <v>238</v>
      </c>
      <c r="K247">
        <v>207</v>
      </c>
      <c r="L247">
        <v>2014</v>
      </c>
      <c r="M247">
        <v>671.33333333333303</v>
      </c>
    </row>
    <row r="248" spans="1:13" x14ac:dyDescent="0.2">
      <c r="A248" t="s">
        <v>1140</v>
      </c>
      <c r="B248" t="s">
        <v>1093</v>
      </c>
      <c r="C248" t="s">
        <v>546</v>
      </c>
      <c r="D248">
        <v>487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6</v>
      </c>
      <c r="K248">
        <v>6</v>
      </c>
      <c r="L248">
        <v>6</v>
      </c>
      <c r="M248">
        <v>2</v>
      </c>
    </row>
    <row r="249" spans="1:13" x14ac:dyDescent="0.2">
      <c r="A249" t="s">
        <v>1140</v>
      </c>
      <c r="B249" t="s">
        <v>1093</v>
      </c>
      <c r="C249" t="s">
        <v>546</v>
      </c>
      <c r="D249">
        <v>487</v>
      </c>
      <c r="E249">
        <v>7443</v>
      </c>
      <c r="F249">
        <v>7241</v>
      </c>
      <c r="G249">
        <v>233</v>
      </c>
      <c r="H249">
        <v>73</v>
      </c>
      <c r="I249">
        <v>84</v>
      </c>
      <c r="J249">
        <v>256</v>
      </c>
      <c r="K249">
        <v>224</v>
      </c>
      <c r="L249">
        <v>7783</v>
      </c>
      <c r="M249">
        <v>2594.3333333333298</v>
      </c>
    </row>
    <row r="250" spans="1:13" x14ac:dyDescent="0.2">
      <c r="A250" t="s">
        <v>1140</v>
      </c>
      <c r="B250" t="s">
        <v>1093</v>
      </c>
      <c r="C250" t="s">
        <v>471</v>
      </c>
      <c r="D250">
        <v>355</v>
      </c>
      <c r="E250">
        <v>3970</v>
      </c>
      <c r="F250">
        <v>3556</v>
      </c>
      <c r="G250">
        <v>320</v>
      </c>
      <c r="H250">
        <v>18</v>
      </c>
      <c r="I250">
        <v>4</v>
      </c>
      <c r="J250">
        <v>240</v>
      </c>
      <c r="K250">
        <v>209</v>
      </c>
      <c r="L250">
        <v>4214</v>
      </c>
      <c r="M250">
        <v>1404.6666666666699</v>
      </c>
    </row>
    <row r="251" spans="1:13" x14ac:dyDescent="0.2">
      <c r="A251" t="s">
        <v>1140</v>
      </c>
      <c r="B251" t="s">
        <v>1093</v>
      </c>
      <c r="C251" t="s">
        <v>471</v>
      </c>
      <c r="D251">
        <v>355</v>
      </c>
      <c r="E251">
        <v>3717</v>
      </c>
      <c r="F251">
        <v>2937</v>
      </c>
      <c r="G251">
        <v>431</v>
      </c>
      <c r="H251">
        <v>84</v>
      </c>
      <c r="I251">
        <v>8</v>
      </c>
      <c r="J251">
        <v>261</v>
      </c>
      <c r="K251">
        <v>228</v>
      </c>
      <c r="L251">
        <v>3986</v>
      </c>
      <c r="M251">
        <v>1328.6666666666699</v>
      </c>
    </row>
    <row r="252" spans="1:13" x14ac:dyDescent="0.2">
      <c r="A252" t="s">
        <v>1140</v>
      </c>
      <c r="B252" t="s">
        <v>1093</v>
      </c>
      <c r="C252" t="s">
        <v>471</v>
      </c>
      <c r="D252">
        <v>355</v>
      </c>
      <c r="E252">
        <v>294</v>
      </c>
      <c r="F252">
        <v>242</v>
      </c>
      <c r="G252">
        <v>29</v>
      </c>
      <c r="H252">
        <v>10</v>
      </c>
      <c r="I252">
        <v>4</v>
      </c>
      <c r="J252">
        <v>128</v>
      </c>
      <c r="K252">
        <v>112</v>
      </c>
      <c r="L252">
        <v>426</v>
      </c>
      <c r="M252">
        <v>142</v>
      </c>
    </row>
    <row r="253" spans="1:13" x14ac:dyDescent="0.2">
      <c r="A253" t="s">
        <v>1139</v>
      </c>
      <c r="B253" t="s">
        <v>1092</v>
      </c>
      <c r="C253" t="s">
        <v>461</v>
      </c>
      <c r="D253">
        <v>1406</v>
      </c>
      <c r="E253">
        <v>11691</v>
      </c>
      <c r="F253">
        <v>10140</v>
      </c>
      <c r="G253">
        <v>1307</v>
      </c>
      <c r="H253">
        <v>0</v>
      </c>
      <c r="I253">
        <v>32</v>
      </c>
      <c r="J253">
        <v>295</v>
      </c>
      <c r="K253">
        <v>266</v>
      </c>
      <c r="L253">
        <v>12018</v>
      </c>
      <c r="M253">
        <v>4006</v>
      </c>
    </row>
    <row r="254" spans="1:13" x14ac:dyDescent="0.2">
      <c r="A254" t="s">
        <v>1139</v>
      </c>
      <c r="B254" t="s">
        <v>1092</v>
      </c>
      <c r="C254" t="s">
        <v>461</v>
      </c>
      <c r="D254">
        <v>1406</v>
      </c>
      <c r="E254">
        <v>9943</v>
      </c>
      <c r="F254">
        <v>9637</v>
      </c>
      <c r="G254">
        <v>258</v>
      </c>
      <c r="H254">
        <v>0</v>
      </c>
      <c r="I254">
        <v>32</v>
      </c>
      <c r="J254">
        <v>231</v>
      </c>
      <c r="K254">
        <v>220</v>
      </c>
      <c r="L254">
        <v>10206</v>
      </c>
      <c r="M254">
        <v>3402</v>
      </c>
    </row>
    <row r="255" spans="1:13" x14ac:dyDescent="0.2">
      <c r="A255" t="s">
        <v>1139</v>
      </c>
      <c r="B255" t="s">
        <v>1092</v>
      </c>
      <c r="C255" t="s">
        <v>461</v>
      </c>
      <c r="D255">
        <v>1406</v>
      </c>
      <c r="E255">
        <v>12022</v>
      </c>
      <c r="F255">
        <v>10869</v>
      </c>
      <c r="G255">
        <v>899</v>
      </c>
      <c r="H255">
        <v>0</v>
      </c>
      <c r="I255">
        <v>32</v>
      </c>
      <c r="J255">
        <v>276</v>
      </c>
      <c r="K255">
        <v>265</v>
      </c>
      <c r="L255">
        <v>12330</v>
      </c>
      <c r="M255">
        <v>4110</v>
      </c>
    </row>
    <row r="256" spans="1:13" x14ac:dyDescent="0.2">
      <c r="A256" t="s">
        <v>1139</v>
      </c>
      <c r="B256" t="s">
        <v>1092</v>
      </c>
      <c r="C256" t="s">
        <v>536</v>
      </c>
      <c r="D256">
        <v>1251</v>
      </c>
      <c r="E256">
        <v>1440</v>
      </c>
      <c r="F256">
        <v>1238</v>
      </c>
      <c r="G256">
        <v>161</v>
      </c>
      <c r="H256">
        <v>2</v>
      </c>
      <c r="I256">
        <v>54</v>
      </c>
      <c r="J256">
        <v>205</v>
      </c>
      <c r="K256">
        <v>186</v>
      </c>
      <c r="L256">
        <v>1699</v>
      </c>
      <c r="M256">
        <v>566.33333333333303</v>
      </c>
    </row>
    <row r="257" spans="1:13" x14ac:dyDescent="0.2">
      <c r="A257" t="s">
        <v>1139</v>
      </c>
      <c r="B257" t="s">
        <v>1092</v>
      </c>
      <c r="C257" t="s">
        <v>536</v>
      </c>
      <c r="D257">
        <v>1251</v>
      </c>
      <c r="E257">
        <v>77</v>
      </c>
      <c r="F257">
        <v>73</v>
      </c>
      <c r="G257">
        <v>7</v>
      </c>
      <c r="H257">
        <v>1</v>
      </c>
      <c r="I257">
        <v>36</v>
      </c>
      <c r="J257">
        <v>30</v>
      </c>
      <c r="K257">
        <v>30</v>
      </c>
      <c r="L257">
        <v>143</v>
      </c>
      <c r="M257">
        <v>47.6666666666667</v>
      </c>
    </row>
    <row r="258" spans="1:13" x14ac:dyDescent="0.2">
      <c r="A258" t="s">
        <v>1139</v>
      </c>
      <c r="B258" t="s">
        <v>1092</v>
      </c>
      <c r="C258" t="s">
        <v>536</v>
      </c>
      <c r="D258">
        <v>1251</v>
      </c>
      <c r="E258">
        <v>2099</v>
      </c>
      <c r="F258">
        <v>1890</v>
      </c>
      <c r="G258">
        <v>137</v>
      </c>
      <c r="H258">
        <v>3</v>
      </c>
      <c r="I258">
        <v>54</v>
      </c>
      <c r="J258">
        <v>263</v>
      </c>
      <c r="K258">
        <v>250</v>
      </c>
      <c r="L258">
        <v>2416</v>
      </c>
      <c r="M258">
        <v>805.33333333333303</v>
      </c>
    </row>
    <row r="259" spans="1:13" x14ac:dyDescent="0.2">
      <c r="A259" t="s">
        <v>1139</v>
      </c>
      <c r="B259" t="s">
        <v>1092</v>
      </c>
      <c r="C259" t="s">
        <v>541</v>
      </c>
      <c r="D259">
        <v>1417</v>
      </c>
      <c r="E259">
        <v>12505</v>
      </c>
      <c r="F259">
        <v>10577</v>
      </c>
      <c r="G259">
        <v>1641</v>
      </c>
      <c r="H259">
        <v>0</v>
      </c>
      <c r="I259">
        <v>66</v>
      </c>
      <c r="J259">
        <v>331</v>
      </c>
      <c r="K259">
        <v>313</v>
      </c>
      <c r="L259">
        <v>12902</v>
      </c>
      <c r="M259">
        <v>4300.6666666666697</v>
      </c>
    </row>
    <row r="260" spans="1:13" x14ac:dyDescent="0.2">
      <c r="A260" t="s">
        <v>1139</v>
      </c>
      <c r="B260" t="s">
        <v>1092</v>
      </c>
      <c r="C260" t="s">
        <v>541</v>
      </c>
      <c r="D260">
        <v>1417</v>
      </c>
      <c r="E260">
        <v>1409</v>
      </c>
      <c r="F260">
        <v>1376</v>
      </c>
      <c r="G260">
        <v>22</v>
      </c>
      <c r="H260">
        <v>0</v>
      </c>
      <c r="I260">
        <v>72</v>
      </c>
      <c r="J260">
        <v>172</v>
      </c>
      <c r="K260">
        <v>164</v>
      </c>
      <c r="L260">
        <v>1653</v>
      </c>
      <c r="M260">
        <v>551</v>
      </c>
    </row>
    <row r="261" spans="1:13" x14ac:dyDescent="0.2">
      <c r="A261" t="s">
        <v>1139</v>
      </c>
      <c r="B261" t="s">
        <v>1092</v>
      </c>
      <c r="C261" t="s">
        <v>541</v>
      </c>
      <c r="D261">
        <v>1417</v>
      </c>
      <c r="E261">
        <v>11850</v>
      </c>
      <c r="F261">
        <v>10743</v>
      </c>
      <c r="G261">
        <v>802</v>
      </c>
      <c r="H261">
        <v>1</v>
      </c>
      <c r="I261">
        <v>132</v>
      </c>
      <c r="J261">
        <v>344</v>
      </c>
      <c r="K261">
        <v>330</v>
      </c>
      <c r="L261">
        <v>12326</v>
      </c>
      <c r="M261">
        <v>4108.6666666666697</v>
      </c>
    </row>
    <row r="262" spans="1:13" x14ac:dyDescent="0.2">
      <c r="A262" t="s">
        <v>1140</v>
      </c>
      <c r="B262" t="s">
        <v>1093</v>
      </c>
      <c r="C262" t="s">
        <v>550</v>
      </c>
      <c r="D262">
        <v>248</v>
      </c>
      <c r="E262">
        <v>7685</v>
      </c>
      <c r="F262">
        <v>6894</v>
      </c>
      <c r="G262">
        <v>564</v>
      </c>
      <c r="H262">
        <v>22</v>
      </c>
      <c r="I262">
        <v>40</v>
      </c>
      <c r="J262">
        <v>295</v>
      </c>
      <c r="K262">
        <v>247</v>
      </c>
      <c r="L262">
        <v>8020</v>
      </c>
      <c r="M262">
        <v>2673.3333333333298</v>
      </c>
    </row>
    <row r="263" spans="1:13" x14ac:dyDescent="0.2">
      <c r="A263" t="s">
        <v>1140</v>
      </c>
      <c r="B263" t="s">
        <v>1093</v>
      </c>
      <c r="C263" t="s">
        <v>550</v>
      </c>
      <c r="D263">
        <v>248</v>
      </c>
      <c r="E263">
        <v>7542</v>
      </c>
      <c r="F263">
        <v>6552</v>
      </c>
      <c r="G263">
        <v>690</v>
      </c>
      <c r="H263">
        <v>35</v>
      </c>
      <c r="I263">
        <v>32</v>
      </c>
      <c r="J263">
        <v>304</v>
      </c>
      <c r="K263">
        <v>255</v>
      </c>
      <c r="L263">
        <v>7878</v>
      </c>
      <c r="M263">
        <v>2626</v>
      </c>
    </row>
    <row r="264" spans="1:13" x14ac:dyDescent="0.2">
      <c r="A264" t="s">
        <v>1140</v>
      </c>
      <c r="B264" t="s">
        <v>1093</v>
      </c>
      <c r="C264" t="s">
        <v>550</v>
      </c>
      <c r="D264">
        <v>248</v>
      </c>
      <c r="E264">
        <v>784</v>
      </c>
      <c r="F264">
        <v>768</v>
      </c>
      <c r="G264">
        <v>30</v>
      </c>
      <c r="H264">
        <v>5</v>
      </c>
      <c r="I264">
        <v>16</v>
      </c>
      <c r="J264">
        <v>167</v>
      </c>
      <c r="K264">
        <v>152</v>
      </c>
      <c r="L264">
        <v>967</v>
      </c>
      <c r="M264">
        <v>322.33333333333297</v>
      </c>
    </row>
    <row r="265" spans="1:13" x14ac:dyDescent="0.2">
      <c r="A265" t="s">
        <v>1139</v>
      </c>
      <c r="B265" t="s">
        <v>1092</v>
      </c>
      <c r="C265" t="s">
        <v>466</v>
      </c>
      <c r="D265">
        <v>1044</v>
      </c>
      <c r="E265">
        <v>70</v>
      </c>
      <c r="F265">
        <v>52</v>
      </c>
      <c r="G265">
        <v>9</v>
      </c>
      <c r="H265">
        <v>13</v>
      </c>
      <c r="I265">
        <v>36</v>
      </c>
      <c r="J265">
        <v>146</v>
      </c>
      <c r="K265">
        <v>138</v>
      </c>
      <c r="L265">
        <v>252</v>
      </c>
      <c r="M265">
        <v>84</v>
      </c>
    </row>
    <row r="266" spans="1:13" x14ac:dyDescent="0.2">
      <c r="A266" t="s">
        <v>1139</v>
      </c>
      <c r="B266" t="s">
        <v>1092</v>
      </c>
      <c r="C266" t="s">
        <v>466</v>
      </c>
      <c r="D266">
        <v>1044</v>
      </c>
      <c r="E266">
        <v>581</v>
      </c>
      <c r="F266">
        <v>534</v>
      </c>
      <c r="G266">
        <v>36</v>
      </c>
      <c r="H266">
        <v>29</v>
      </c>
      <c r="I266">
        <v>54</v>
      </c>
      <c r="J266">
        <v>166</v>
      </c>
      <c r="K266">
        <v>159</v>
      </c>
      <c r="L266">
        <v>801</v>
      </c>
      <c r="M266">
        <v>267</v>
      </c>
    </row>
    <row r="267" spans="1:13" x14ac:dyDescent="0.2">
      <c r="A267" t="s">
        <v>1139</v>
      </c>
      <c r="B267" t="s">
        <v>1092</v>
      </c>
      <c r="C267" t="s">
        <v>211</v>
      </c>
      <c r="D267">
        <v>1293</v>
      </c>
      <c r="E267">
        <v>11462</v>
      </c>
      <c r="F267">
        <v>9743</v>
      </c>
      <c r="G267">
        <v>1422</v>
      </c>
      <c r="H267">
        <v>0</v>
      </c>
      <c r="I267">
        <v>24</v>
      </c>
      <c r="J267">
        <v>350</v>
      </c>
      <c r="K267">
        <v>318</v>
      </c>
      <c r="L267">
        <v>11836</v>
      </c>
      <c r="M267">
        <v>3945.3333333333298</v>
      </c>
    </row>
    <row r="268" spans="1:13" x14ac:dyDescent="0.2">
      <c r="A268" t="s">
        <v>1139</v>
      </c>
      <c r="B268" t="s">
        <v>1092</v>
      </c>
      <c r="C268" t="s">
        <v>211</v>
      </c>
      <c r="D268">
        <v>1293</v>
      </c>
      <c r="E268">
        <v>1015</v>
      </c>
      <c r="F268">
        <v>987</v>
      </c>
      <c r="G268">
        <v>22</v>
      </c>
      <c r="H268">
        <v>0</v>
      </c>
      <c r="I268">
        <v>24</v>
      </c>
      <c r="J268">
        <v>122</v>
      </c>
      <c r="K268">
        <v>116</v>
      </c>
      <c r="L268">
        <v>1161</v>
      </c>
      <c r="M268">
        <v>387</v>
      </c>
    </row>
    <row r="269" spans="1:13" x14ac:dyDescent="0.2">
      <c r="A269" t="s">
        <v>1139</v>
      </c>
      <c r="B269" t="s">
        <v>1092</v>
      </c>
      <c r="C269" t="s">
        <v>211</v>
      </c>
      <c r="D269">
        <v>1293</v>
      </c>
      <c r="E269">
        <v>10814</v>
      </c>
      <c r="F269">
        <v>9786</v>
      </c>
      <c r="G269">
        <v>795</v>
      </c>
      <c r="H269">
        <v>0</v>
      </c>
      <c r="I269">
        <v>24</v>
      </c>
      <c r="J269">
        <v>300</v>
      </c>
      <c r="K269">
        <v>287</v>
      </c>
      <c r="L269">
        <v>11138</v>
      </c>
      <c r="M269">
        <v>3712.6666666666702</v>
      </c>
    </row>
    <row r="270" spans="1:13" x14ac:dyDescent="0.2">
      <c r="A270" t="s">
        <v>1139</v>
      </c>
      <c r="B270" t="s">
        <v>1092</v>
      </c>
      <c r="C270" t="s">
        <v>1125</v>
      </c>
      <c r="D270">
        <v>1005</v>
      </c>
      <c r="E270">
        <v>12627</v>
      </c>
      <c r="F270">
        <v>10957</v>
      </c>
      <c r="G270">
        <v>1291</v>
      </c>
      <c r="H270">
        <v>29</v>
      </c>
      <c r="I270">
        <v>234</v>
      </c>
      <c r="J270">
        <v>258</v>
      </c>
      <c r="K270">
        <v>238</v>
      </c>
      <c r="L270">
        <v>13119</v>
      </c>
      <c r="M270">
        <v>4373</v>
      </c>
    </row>
    <row r="271" spans="1:13" x14ac:dyDescent="0.2">
      <c r="A271" t="s">
        <v>1139</v>
      </c>
      <c r="B271" t="s">
        <v>1092</v>
      </c>
      <c r="C271" t="s">
        <v>1125</v>
      </c>
      <c r="D271">
        <v>1005</v>
      </c>
      <c r="E271">
        <v>12586</v>
      </c>
      <c r="F271">
        <v>12084</v>
      </c>
      <c r="G271">
        <v>466</v>
      </c>
      <c r="H271">
        <v>71</v>
      </c>
      <c r="I271">
        <v>198</v>
      </c>
      <c r="J271">
        <v>218</v>
      </c>
      <c r="K271">
        <v>204</v>
      </c>
      <c r="L271">
        <v>13002</v>
      </c>
      <c r="M271">
        <v>4334</v>
      </c>
    </row>
    <row r="272" spans="1:13" x14ac:dyDescent="0.2">
      <c r="A272" t="s">
        <v>1139</v>
      </c>
      <c r="B272" t="s">
        <v>1092</v>
      </c>
      <c r="C272" t="s">
        <v>1125</v>
      </c>
      <c r="D272">
        <v>1005</v>
      </c>
      <c r="E272">
        <v>13193</v>
      </c>
      <c r="F272">
        <v>11718</v>
      </c>
      <c r="G272">
        <v>1078</v>
      </c>
      <c r="H272">
        <v>35</v>
      </c>
      <c r="I272">
        <v>234</v>
      </c>
      <c r="J272">
        <v>289</v>
      </c>
      <c r="K272">
        <v>275</v>
      </c>
      <c r="L272">
        <v>13716</v>
      </c>
      <c r="M272">
        <v>4572</v>
      </c>
    </row>
    <row r="273" spans="1:13" x14ac:dyDescent="0.2">
      <c r="A273" t="s">
        <v>1139</v>
      </c>
      <c r="B273" t="s">
        <v>1092</v>
      </c>
      <c r="C273" t="s">
        <v>1126</v>
      </c>
      <c r="D273">
        <v>1036</v>
      </c>
      <c r="E273">
        <v>2</v>
      </c>
      <c r="F273">
        <v>2</v>
      </c>
      <c r="G273">
        <v>0</v>
      </c>
      <c r="H273">
        <v>0</v>
      </c>
      <c r="I273">
        <v>234</v>
      </c>
      <c r="J273">
        <v>207</v>
      </c>
      <c r="K273">
        <v>190</v>
      </c>
      <c r="L273">
        <v>443</v>
      </c>
      <c r="M273">
        <v>147.666666666667</v>
      </c>
    </row>
    <row r="274" spans="1:13" x14ac:dyDescent="0.2">
      <c r="A274" t="s">
        <v>1139</v>
      </c>
      <c r="B274" t="s">
        <v>1092</v>
      </c>
      <c r="C274" t="s">
        <v>1126</v>
      </c>
      <c r="D274">
        <v>1036</v>
      </c>
      <c r="E274">
        <v>35</v>
      </c>
      <c r="F274">
        <v>34</v>
      </c>
      <c r="G274">
        <v>1</v>
      </c>
      <c r="H274">
        <v>0</v>
      </c>
      <c r="I274">
        <v>198</v>
      </c>
      <c r="J274">
        <v>186</v>
      </c>
      <c r="K274">
        <v>177</v>
      </c>
      <c r="L274">
        <v>419</v>
      </c>
      <c r="M274">
        <v>139.666666666667</v>
      </c>
    </row>
    <row r="275" spans="1:13" x14ac:dyDescent="0.2">
      <c r="A275" t="s">
        <v>1139</v>
      </c>
      <c r="B275" t="s">
        <v>1092</v>
      </c>
      <c r="C275" t="s">
        <v>1126</v>
      </c>
      <c r="D275">
        <v>1036</v>
      </c>
      <c r="E275">
        <v>1</v>
      </c>
      <c r="F275">
        <v>1</v>
      </c>
      <c r="G275">
        <v>0</v>
      </c>
      <c r="H275">
        <v>0</v>
      </c>
      <c r="I275">
        <v>234</v>
      </c>
      <c r="J275">
        <v>247</v>
      </c>
      <c r="K275">
        <v>233</v>
      </c>
      <c r="L275">
        <v>482</v>
      </c>
      <c r="M275">
        <v>160.666666666667</v>
      </c>
    </row>
    <row r="276" spans="1:13" x14ac:dyDescent="0.2">
      <c r="A276" t="s">
        <v>1139</v>
      </c>
      <c r="B276" t="s">
        <v>1092</v>
      </c>
      <c r="C276" t="s">
        <v>1127</v>
      </c>
      <c r="D276">
        <v>1444</v>
      </c>
      <c r="E276">
        <v>7985</v>
      </c>
      <c r="F276">
        <v>6894</v>
      </c>
      <c r="G276">
        <v>841</v>
      </c>
      <c r="H276">
        <v>0</v>
      </c>
      <c r="I276">
        <v>64</v>
      </c>
      <c r="J276">
        <v>295</v>
      </c>
      <c r="K276">
        <v>274</v>
      </c>
      <c r="L276">
        <v>8344</v>
      </c>
      <c r="M276">
        <v>2781.3333333333298</v>
      </c>
    </row>
    <row r="277" spans="1:13" x14ac:dyDescent="0.2">
      <c r="A277" t="s">
        <v>1139</v>
      </c>
      <c r="B277" t="s">
        <v>1092</v>
      </c>
      <c r="C277" t="s">
        <v>1127</v>
      </c>
      <c r="D277">
        <v>1444</v>
      </c>
      <c r="E277">
        <v>1965</v>
      </c>
      <c r="F277">
        <v>1919</v>
      </c>
      <c r="G277">
        <v>37</v>
      </c>
      <c r="H277">
        <v>0</v>
      </c>
      <c r="I277">
        <v>56</v>
      </c>
      <c r="J277">
        <v>221</v>
      </c>
      <c r="K277">
        <v>207</v>
      </c>
      <c r="L277">
        <v>2242</v>
      </c>
      <c r="M277">
        <v>747.33333333333303</v>
      </c>
    </row>
    <row r="278" spans="1:13" x14ac:dyDescent="0.2">
      <c r="A278" t="s">
        <v>1139</v>
      </c>
      <c r="B278" t="s">
        <v>1092</v>
      </c>
      <c r="C278" t="s">
        <v>1127</v>
      </c>
      <c r="D278">
        <v>1444</v>
      </c>
      <c r="E278">
        <v>7565</v>
      </c>
      <c r="F278">
        <v>6637</v>
      </c>
      <c r="G278">
        <v>649</v>
      </c>
      <c r="H278">
        <v>0</v>
      </c>
      <c r="I278">
        <v>48</v>
      </c>
      <c r="J278">
        <v>270</v>
      </c>
      <c r="K278">
        <v>262</v>
      </c>
      <c r="L278">
        <v>7883</v>
      </c>
      <c r="M278">
        <v>2627.6666666666702</v>
      </c>
    </row>
    <row r="279" spans="1:13" x14ac:dyDescent="0.2">
      <c r="A279" t="s">
        <v>1139</v>
      </c>
      <c r="B279" t="s">
        <v>1092</v>
      </c>
      <c r="C279" t="s">
        <v>1128</v>
      </c>
      <c r="D279">
        <v>1446</v>
      </c>
      <c r="E279">
        <v>1</v>
      </c>
      <c r="F279">
        <v>1</v>
      </c>
      <c r="G279">
        <v>0</v>
      </c>
      <c r="H279">
        <v>0</v>
      </c>
      <c r="I279">
        <v>0</v>
      </c>
      <c r="J279">
        <v>260</v>
      </c>
      <c r="K279">
        <v>245</v>
      </c>
      <c r="L279">
        <v>261</v>
      </c>
      <c r="M279">
        <v>87</v>
      </c>
    </row>
    <row r="280" spans="1:13" x14ac:dyDescent="0.2">
      <c r="A280" t="s">
        <v>1139</v>
      </c>
      <c r="B280" t="s">
        <v>1092</v>
      </c>
      <c r="C280" t="s">
        <v>1128</v>
      </c>
      <c r="D280">
        <v>1446</v>
      </c>
      <c r="E280">
        <v>33</v>
      </c>
      <c r="F280">
        <v>33</v>
      </c>
      <c r="G280">
        <v>1</v>
      </c>
      <c r="H280">
        <v>0</v>
      </c>
      <c r="I280">
        <v>0</v>
      </c>
      <c r="J280">
        <v>188</v>
      </c>
      <c r="K280">
        <v>181</v>
      </c>
      <c r="L280">
        <v>221</v>
      </c>
      <c r="M280">
        <v>73.6666666666667</v>
      </c>
    </row>
    <row r="281" spans="1:13" x14ac:dyDescent="0.2">
      <c r="A281" t="s">
        <v>1139</v>
      </c>
      <c r="B281" t="s">
        <v>1092</v>
      </c>
      <c r="C281" t="s">
        <v>1128</v>
      </c>
      <c r="D281">
        <v>1446</v>
      </c>
      <c r="E281">
        <v>3</v>
      </c>
      <c r="F281">
        <v>2</v>
      </c>
      <c r="G281">
        <v>0</v>
      </c>
      <c r="H281">
        <v>0</v>
      </c>
      <c r="I281">
        <v>0</v>
      </c>
      <c r="J281">
        <v>247</v>
      </c>
      <c r="K281">
        <v>237</v>
      </c>
      <c r="L281">
        <v>250</v>
      </c>
      <c r="M281">
        <v>83.3333333333333</v>
      </c>
    </row>
    <row r="282" spans="1:13" x14ac:dyDescent="0.2">
      <c r="A282" t="s">
        <v>1139</v>
      </c>
      <c r="B282" t="s">
        <v>1092</v>
      </c>
      <c r="C282" t="s">
        <v>25</v>
      </c>
      <c r="D282">
        <v>1836</v>
      </c>
      <c r="E282">
        <v>220</v>
      </c>
      <c r="F282">
        <v>218</v>
      </c>
      <c r="G282">
        <v>1</v>
      </c>
      <c r="H282">
        <v>0</v>
      </c>
      <c r="I282">
        <v>60</v>
      </c>
      <c r="J282">
        <v>210</v>
      </c>
      <c r="K282">
        <v>193</v>
      </c>
      <c r="L282">
        <v>490</v>
      </c>
      <c r="M282">
        <v>163.333333333333</v>
      </c>
    </row>
    <row r="283" spans="1:13" x14ac:dyDescent="0.2">
      <c r="A283" t="s">
        <v>1139</v>
      </c>
      <c r="B283" t="s">
        <v>1092</v>
      </c>
      <c r="C283" t="s">
        <v>25</v>
      </c>
      <c r="D283">
        <v>1836</v>
      </c>
      <c r="E283">
        <v>3</v>
      </c>
      <c r="F283">
        <v>3</v>
      </c>
      <c r="G283">
        <v>0</v>
      </c>
      <c r="H283">
        <v>0</v>
      </c>
      <c r="I283">
        <v>12</v>
      </c>
      <c r="J283">
        <v>2</v>
      </c>
      <c r="K283">
        <v>2</v>
      </c>
      <c r="L283">
        <v>17</v>
      </c>
      <c r="M283">
        <v>5.6666666666666696</v>
      </c>
    </row>
    <row r="284" spans="1:13" x14ac:dyDescent="0.2">
      <c r="A284" t="s">
        <v>1139</v>
      </c>
      <c r="B284" t="s">
        <v>1092</v>
      </c>
      <c r="C284" t="s">
        <v>1078</v>
      </c>
      <c r="D284">
        <v>1869</v>
      </c>
      <c r="E284">
        <v>40</v>
      </c>
      <c r="F284">
        <v>37</v>
      </c>
      <c r="G284">
        <v>3</v>
      </c>
      <c r="H284">
        <v>0</v>
      </c>
      <c r="I284">
        <v>72</v>
      </c>
      <c r="J284">
        <v>198</v>
      </c>
      <c r="K284">
        <v>188</v>
      </c>
      <c r="L284">
        <v>310</v>
      </c>
      <c r="M284">
        <v>103.333333333333</v>
      </c>
    </row>
    <row r="285" spans="1:13" x14ac:dyDescent="0.2">
      <c r="A285" t="s">
        <v>1140</v>
      </c>
      <c r="B285" t="s">
        <v>1093</v>
      </c>
      <c r="C285" t="s">
        <v>565</v>
      </c>
      <c r="D285">
        <v>797</v>
      </c>
      <c r="E285">
        <v>6419</v>
      </c>
      <c r="F285">
        <v>5792</v>
      </c>
      <c r="G285">
        <v>447</v>
      </c>
      <c r="H285">
        <v>0</v>
      </c>
      <c r="I285">
        <v>72</v>
      </c>
      <c r="J285">
        <v>295</v>
      </c>
      <c r="K285">
        <v>222</v>
      </c>
      <c r="L285">
        <v>6786</v>
      </c>
      <c r="M285">
        <v>2262</v>
      </c>
    </row>
    <row r="286" spans="1:13" x14ac:dyDescent="0.2">
      <c r="A286" t="s">
        <v>1140</v>
      </c>
      <c r="B286" t="s">
        <v>1093</v>
      </c>
      <c r="C286" t="s">
        <v>565</v>
      </c>
      <c r="D286">
        <v>797</v>
      </c>
      <c r="E286">
        <v>6160</v>
      </c>
      <c r="F286">
        <v>5354</v>
      </c>
      <c r="G286">
        <v>537</v>
      </c>
      <c r="H286">
        <v>0</v>
      </c>
      <c r="I286">
        <v>96</v>
      </c>
      <c r="J286">
        <v>276</v>
      </c>
      <c r="K286">
        <v>243</v>
      </c>
      <c r="L286">
        <v>6532</v>
      </c>
      <c r="M286">
        <v>2177.3333333333298</v>
      </c>
    </row>
    <row r="287" spans="1:13" x14ac:dyDescent="0.2">
      <c r="A287" t="s">
        <v>1140</v>
      </c>
      <c r="B287" t="s">
        <v>1093</v>
      </c>
      <c r="C287" t="s">
        <v>565</v>
      </c>
      <c r="D287">
        <v>797</v>
      </c>
      <c r="E287">
        <v>537</v>
      </c>
      <c r="F287">
        <v>534</v>
      </c>
      <c r="G287">
        <v>10</v>
      </c>
      <c r="H287">
        <v>0</v>
      </c>
      <c r="I287">
        <v>48</v>
      </c>
      <c r="J287">
        <v>184</v>
      </c>
      <c r="K287">
        <v>164</v>
      </c>
      <c r="L287">
        <v>769</v>
      </c>
      <c r="M287">
        <v>256.33333333333297</v>
      </c>
    </row>
    <row r="288" spans="1:13" x14ac:dyDescent="0.2">
      <c r="A288" t="s">
        <v>1140</v>
      </c>
      <c r="B288" t="s">
        <v>1093</v>
      </c>
      <c r="C288" t="s">
        <v>561</v>
      </c>
      <c r="D288">
        <v>654</v>
      </c>
      <c r="E288">
        <v>175</v>
      </c>
      <c r="F288">
        <v>168</v>
      </c>
      <c r="G288">
        <v>14</v>
      </c>
      <c r="H288">
        <v>3</v>
      </c>
      <c r="I288">
        <v>72</v>
      </c>
      <c r="J288">
        <v>193</v>
      </c>
      <c r="K288">
        <v>185</v>
      </c>
      <c r="L288">
        <v>440</v>
      </c>
      <c r="M288">
        <v>146.666666666667</v>
      </c>
    </row>
    <row r="289" spans="1:13" x14ac:dyDescent="0.2">
      <c r="A289" t="s">
        <v>1140</v>
      </c>
      <c r="B289" t="s">
        <v>1093</v>
      </c>
      <c r="C289" t="s">
        <v>561</v>
      </c>
      <c r="D289">
        <v>654</v>
      </c>
      <c r="E289">
        <v>2253</v>
      </c>
      <c r="F289">
        <v>1917</v>
      </c>
      <c r="G289">
        <v>207</v>
      </c>
      <c r="H289">
        <v>34</v>
      </c>
      <c r="I289">
        <v>36</v>
      </c>
      <c r="J289">
        <v>258</v>
      </c>
      <c r="K289">
        <v>196</v>
      </c>
      <c r="L289">
        <v>2547</v>
      </c>
      <c r="M289">
        <v>849</v>
      </c>
    </row>
    <row r="290" spans="1:13" x14ac:dyDescent="0.2">
      <c r="A290" t="s">
        <v>1140</v>
      </c>
      <c r="B290" t="s">
        <v>1093</v>
      </c>
      <c r="C290" t="s">
        <v>561</v>
      </c>
      <c r="D290">
        <v>654</v>
      </c>
      <c r="E290">
        <v>2151</v>
      </c>
      <c r="F290">
        <v>1832</v>
      </c>
      <c r="G290">
        <v>244</v>
      </c>
      <c r="H290">
        <v>24</v>
      </c>
      <c r="I290">
        <v>228</v>
      </c>
      <c r="J290">
        <v>309</v>
      </c>
      <c r="K290">
        <v>273</v>
      </c>
      <c r="L290">
        <v>2688</v>
      </c>
      <c r="M290">
        <v>896</v>
      </c>
    </row>
    <row r="291" spans="1:13" x14ac:dyDescent="0.2">
      <c r="A291" t="s">
        <v>1140</v>
      </c>
      <c r="B291" t="s">
        <v>1093</v>
      </c>
      <c r="C291" t="s">
        <v>561</v>
      </c>
      <c r="D291">
        <v>654</v>
      </c>
      <c r="E291">
        <v>99</v>
      </c>
      <c r="F291">
        <v>84</v>
      </c>
      <c r="G291">
        <v>13</v>
      </c>
      <c r="H291">
        <v>3</v>
      </c>
      <c r="I291">
        <v>60</v>
      </c>
      <c r="J291">
        <v>99</v>
      </c>
      <c r="K291">
        <v>89</v>
      </c>
      <c r="L291">
        <v>258</v>
      </c>
      <c r="M291">
        <v>86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Roman,Normale"&amp;12&amp;Kffffff&amp;A</oddHeader>
    <oddFooter>&amp;C&amp;"Times New Roman,Normale"&amp;12&amp;KffffffPagina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Excel iOS</Application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DATI</vt:lpstr>
      <vt:lpstr>TEST_COUNT_PRIMI 3 MESI</vt:lpstr>
      <vt:lpstr>DPCache_Instrument Summary (1)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Ferri, Federico</dc:creator>
  <dc:description/>
  <cp:lastModifiedBy>Ferri, Federico</cp:lastModifiedBy>
  <cp:revision>0</cp:revision>
  <dcterms:created xsi:type="dcterms:W3CDTF">2026-01-26T15:10:29Z</dcterms:created>
  <dcterms:modified xsi:type="dcterms:W3CDTF">2026-01-27T17:00:45Z</dcterms:modified>
  <dc:language>it-IT</dc:language>
</cp:coreProperties>
</file>