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TEST_COUNT_PRIMI 3 MESI" sheetId="2" state="visible" r:id="rId2"/>
    <sheet xmlns:r="http://schemas.openxmlformats.org/officeDocument/2006/relationships" name="DPCache_Instrument Summary (1)" sheetId="3" state="hidden" r:id="rId3"/>
    <sheet xmlns:r="http://schemas.openxmlformats.org/officeDocument/2006/relationships" name="GIACENZA_REALE" sheetId="4" state="visible" r:id="rId4"/>
    <sheet xmlns:r="http://schemas.openxmlformats.org/officeDocument/2006/relationships" name="ORDINE_MESE" sheetId="5" state="visible" r:id="rId5"/>
    <sheet xmlns:r="http://schemas.openxmlformats.org/officeDocument/2006/relationships" name="DASHBOARD" sheetId="6" state="visible" r:id="rId6"/>
  </sheets>
  <externalReferences>
    <externalReference xmlns:r="http://schemas.openxmlformats.org/officeDocument/2006/relationships" r:id="rId8"/>
  </externalReferences>
  <definedNames>
    <definedName name="_xlnm._FilterDatabase" localSheetId="0" hidden="1">'DATI'!$A$1:$N$1</definedName>
  </definedNames>
  <calcPr calcId="124519" fullCalcOnLoad="1" refMode="A1" iterate="0" iterateCount="100" iterateDelta="0.0001"/>
  <pivotCaches>
    <pivotCache xmlns:r="http://schemas.openxmlformats.org/officeDocument/2006/relationships" cacheId="1" r:id="rId7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mmm\-yy"/>
  </numFmts>
  <fonts count="1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1"/>
      <sz val="11"/>
    </font>
    <font>
      <name val="Segoe UI"/>
      <charset val="1"/>
      <family val="2"/>
      <sz val="9"/>
    </font>
    <font>
      <name val="Segoe UI"/>
      <charset val="1"/>
      <family val="2"/>
      <b val="1"/>
      <sz val="9"/>
    </font>
    <font>
      <name val="Aptos Narrow"/>
      <charset val="1"/>
      <family val="2"/>
      <b val="1"/>
      <color rgb="FFFF0000"/>
      <sz val="11"/>
    </font>
    <font>
      <name val="Aptos Narrow"/>
      <charset val="1"/>
      <family val="2"/>
      <i val="1"/>
      <color rgb="FF0070C0"/>
      <sz val="11"/>
    </font>
    <font>
      <name val="Aptos Narrow"/>
      <charset val="1"/>
      <family val="2"/>
      <b val="1"/>
      <i val="1"/>
      <color rgb="FF0070C0"/>
      <sz val="11"/>
    </font>
    <font>
      <name val="Aptos Narrow"/>
      <charset val="1"/>
      <family val="2"/>
      <color rgb="FFFF0000"/>
      <sz val="11"/>
    </font>
    <font>
      <name val="Aptos Narrow"/>
      <charset val="1"/>
      <family val="2"/>
      <color theme="8" tint="0.3999"/>
      <sz val="11"/>
    </font>
    <font>
      <name val="Aptos Narrow"/>
      <charset val="1"/>
      <family val="2"/>
      <b val="1"/>
      <color theme="8" tint="0.3999"/>
      <sz val="11"/>
    </font>
    <font>
      <name val="Aptos"/>
      <charset val="1"/>
      <family val="2"/>
      <color rgb="FF212121"/>
      <sz val="11"/>
    </font>
    <font>
      <name val="Aptos"/>
      <charset val="1"/>
      <family val="2"/>
      <sz val="11"/>
    </font>
    <font>
      <name val="Aptos Narrow"/>
      <charset val="1"/>
      <family val="2"/>
      <sz val="11"/>
    </font>
  </fonts>
  <fills count="14">
    <fill>
      <patternFill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8" tint="0.7999000000000001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1" tint="0.4999"/>
        <bgColor rgb="FF808080"/>
      </patternFill>
    </fill>
    <fill>
      <patternFill patternType="solid">
        <fgColor theme="0" tint="-0.5"/>
        <bgColor rgb="FF7F7F7F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theme="0" tint="-0.15"/>
        <bgColor rgb="FFF2CFEE"/>
      </patternFill>
    </fill>
    <fill>
      <patternFill patternType="solid">
        <fgColor theme="1" tint="0.15"/>
        <bgColor rgb="FF212121"/>
      </patternFill>
    </fill>
    <fill>
      <patternFill patternType="solid">
        <fgColor rgb="00DDDDDD"/>
        <bgColor rgb="00DDDDDD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left" vertical="bottom"/>
    </xf>
    <xf numFmtId="0" fontId="4" fillId="0" borderId="0" applyAlignment="1">
      <alignment horizontal="left" vertical="bottom"/>
    </xf>
    <xf numFmtId="0" fontId="4" fillId="0" borderId="0" applyAlignment="1">
      <alignment horizontal="general" vertical="bottom"/>
    </xf>
  </cellStyleXfs>
  <cellXfs count="2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/>
    </xf>
    <xf numFmtId="1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bottom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/>
    </xf>
    <xf numFmtId="1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top"/>
    </xf>
    <xf numFmtId="49" fontId="6" fillId="3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left" vertical="top"/>
    </xf>
    <xf numFmtId="49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/>
    </xf>
    <xf numFmtId="164" fontId="0" fillId="5" borderId="1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1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" fontId="0" fillId="5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bottom"/>
    </xf>
    <xf numFmtId="165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general" vertical="bottom"/>
    </xf>
    <xf numFmtId="0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center" vertical="bottom"/>
    </xf>
    <xf numFmtId="0" fontId="0" fillId="0" borderId="0" applyAlignment="1" pivotButton="0" quotePrefix="0" xfId="2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0" fillId="0" borderId="8" applyAlignment="1" pivotButton="0" quotePrefix="0" xfId="20">
      <alignment horizontal="general" vertical="bottom"/>
    </xf>
    <xf numFmtId="0" fontId="0" fillId="0" borderId="1" applyAlignment="1" pivotButton="0" quotePrefix="0" xfId="23">
      <alignment horizontal="left" vertical="bottom"/>
    </xf>
    <xf numFmtId="0" fontId="4" fillId="0" borderId="9" applyAlignment="1" pivotButton="0" quotePrefix="0" xfId="24">
      <alignment horizontal="left" vertical="bottom"/>
    </xf>
    <xf numFmtId="0" fontId="0" fillId="0" borderId="8" applyAlignment="1" pivotButton="0" quotePrefix="0" xfId="23">
      <alignment horizontal="left" vertical="bottom"/>
    </xf>
    <xf numFmtId="1" fontId="0" fillId="0" borderId="1" applyAlignment="1" pivotButton="0" quotePrefix="0" xfId="22">
      <alignment horizontal="general" vertical="bottom"/>
    </xf>
    <xf numFmtId="1" fontId="4" fillId="0" borderId="9" applyAlignment="1" pivotButton="0" quotePrefix="0" xfId="25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4" fillId="0" borderId="9" applyAlignment="1" pivotButton="0" quotePrefix="0" xfId="25">
      <alignment horizontal="general" vertical="bottom"/>
    </xf>
    <xf numFmtId="0" fontId="4" fillId="0" borderId="10" applyAlignment="1" pivotButton="0" quotePrefix="0" xfId="24">
      <alignment horizontal="left" vertical="bottom"/>
    </xf>
    <xf numFmtId="0" fontId="4" fillId="0" borderId="11" applyAlignment="1" pivotButton="0" quotePrefix="0" xfId="25">
      <alignment horizontal="general" vertical="bottom"/>
    </xf>
    <xf numFmtId="0" fontId="4" fillId="0" borderId="12" applyAlignment="1" pivotButton="0" quotePrefix="0" xfId="2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/>
    </xf>
    <xf numFmtId="1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center" vertical="bottom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left" vertical="top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bottom"/>
    </xf>
    <xf numFmtId="0" fontId="0" fillId="0" borderId="3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top"/>
    </xf>
    <xf numFmtId="1" fontId="0" fillId="7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top"/>
    </xf>
    <xf numFmtId="49" fontId="6" fillId="3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0" fillId="5" borderId="1" applyAlignment="1" pivotButton="0" quotePrefix="0" xfId="0">
      <alignment horizontal="left" vertical="top"/>
    </xf>
    <xf numFmtId="49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top"/>
    </xf>
    <xf numFmtId="164" fontId="0" fillId="5" borderId="1" applyAlignment="1" pivotButton="0" quotePrefix="0" xfId="0">
      <alignment horizontal="center" vertical="bottom"/>
    </xf>
    <xf numFmtId="1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" fontId="0" fillId="5" borderId="1" applyAlignment="1" pivotButton="0" quotePrefix="0" xfId="0">
      <alignment horizontal="left" vertical="top"/>
    </xf>
    <xf numFmtId="0" fontId="4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/>
    </xf>
    <xf numFmtId="0" fontId="4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4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bottom"/>
    </xf>
    <xf numFmtId="165" fontId="1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11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bottom"/>
    </xf>
    <xf numFmtId="0" fontId="0" fillId="10" borderId="1" applyAlignment="1" pivotButton="0" quotePrefix="0" xfId="0">
      <alignment horizontal="left" vertical="top"/>
    </xf>
    <xf numFmtId="0" fontId="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general" vertical="center"/>
    </xf>
    <xf numFmtId="0" fontId="0" fillId="0" borderId="1" applyAlignment="1" pivotButton="0" quotePrefix="0" xfId="0">
      <alignment horizontal="general" vertical="center"/>
    </xf>
    <xf numFmtId="0" fontId="13" fillId="0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bottom"/>
    </xf>
    <xf numFmtId="0" fontId="0" fillId="0" borderId="1" applyAlignment="1" pivotButton="0" quotePrefix="0" xfId="0">
      <alignment horizontal="left" vertical="bottom"/>
    </xf>
    <xf numFmtId="0" fontId="14" fillId="0" borderId="1" applyAlignment="1" pivotButton="0" quotePrefix="0" xfId="0">
      <alignment horizontal="general" vertical="bottom"/>
    </xf>
    <xf numFmtId="0" fontId="4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left" vertical="top"/>
    </xf>
    <xf numFmtId="0" fontId="4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top"/>
    </xf>
    <xf numFmtId="0" fontId="0" fillId="12" borderId="1" applyAlignment="1" pivotButton="0" quotePrefix="0" xfId="0">
      <alignment horizontal="center" vertical="bottom"/>
    </xf>
    <xf numFmtId="0" fontId="0" fillId="0" borderId="0" applyAlignment="1" pivotButton="0" quotePrefix="0" xfId="2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4" applyAlignment="1" pivotButton="0" quotePrefix="0" xfId="21">
      <alignment horizontal="general" vertical="bottom"/>
    </xf>
    <xf numFmtId="0" fontId="0" fillId="0" borderId="5" applyAlignment="1" pivotButton="0" quotePrefix="0" xfId="20">
      <alignment horizontal="general" vertical="bottom"/>
    </xf>
    <xf numFmtId="0" fontId="0" fillId="0" borderId="6" applyAlignment="1" pivotButton="0" quotePrefix="0" xfId="21">
      <alignment horizontal="general" vertical="bottom"/>
    </xf>
    <xf numFmtId="0" fontId="0" fillId="0" borderId="7" applyAlignment="1" pivotButton="0" quotePrefix="0" xfId="21">
      <alignment horizontal="general" vertical="bottom"/>
    </xf>
    <xf numFmtId="0" fontId="0" fillId="0" borderId="8" applyAlignment="1" pivotButton="0" quotePrefix="0" xfId="20">
      <alignment horizontal="general" vertical="bottom"/>
    </xf>
    <xf numFmtId="0" fontId="0" fillId="0" borderId="1" applyAlignment="1" pivotButton="0" quotePrefix="0" xfId="23">
      <alignment horizontal="left" vertical="bottom"/>
    </xf>
    <xf numFmtId="0" fontId="4" fillId="0" borderId="9" applyAlignment="1" pivotButton="0" quotePrefix="0" xfId="24">
      <alignment horizontal="left" vertical="bottom"/>
    </xf>
    <xf numFmtId="0" fontId="0" fillId="0" borderId="8" applyAlignment="1" pivotButton="0" quotePrefix="0" xfId="23">
      <alignment horizontal="left" vertical="bottom"/>
    </xf>
    <xf numFmtId="1" fontId="0" fillId="0" borderId="1" applyAlignment="1" pivotButton="0" quotePrefix="0" xfId="22">
      <alignment horizontal="general" vertical="bottom"/>
    </xf>
    <xf numFmtId="1" fontId="4" fillId="0" borderId="9" applyAlignment="1" pivotButton="0" quotePrefix="0" xfId="25">
      <alignment horizontal="general" vertical="bottom"/>
    </xf>
    <xf numFmtId="0" fontId="0" fillId="0" borderId="1" applyAlignment="1" pivotButton="0" quotePrefix="0" xfId="22">
      <alignment horizontal="general" vertical="bottom"/>
    </xf>
    <xf numFmtId="0" fontId="4" fillId="0" borderId="9" applyAlignment="1" pivotButton="0" quotePrefix="0" xfId="25">
      <alignment horizontal="general" vertical="bottom"/>
    </xf>
    <xf numFmtId="0" fontId="4" fillId="0" borderId="10" applyAlignment="1" pivotButton="0" quotePrefix="0" xfId="24">
      <alignment horizontal="left" vertical="bottom"/>
    </xf>
    <xf numFmtId="0" fontId="4" fillId="0" borderId="11" applyAlignment="1" pivotButton="0" quotePrefix="0" xfId="25">
      <alignment horizontal="general" vertical="bottom"/>
    </xf>
    <xf numFmtId="0" fontId="4" fillId="0" borderId="12" applyAlignment="1" pivotButton="0" quotePrefix="0" xfId="25">
      <alignment horizontal="general" vertical="bottom"/>
    </xf>
    <xf numFmtId="0" fontId="0" fillId="13" borderId="0" applyAlignment="1" pivotButton="0" quotePrefix="0" xfId="0">
      <alignment horizontal="general" vertical="bottom"/>
    </xf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ampo tabella pivot" xfId="6"/>
    <cellStyle name="Angolo tabella pivot" xfId="7"/>
    <cellStyle name="Valore tabella pivot" xfId="8"/>
    <cellStyle name="Categoria tabella pivot" xfId="9"/>
    <cellStyle name="Titolo tabella pivot" xfId="10"/>
    <cellStyle name="Risultato tabella pivot" xfId="11"/>
  </cellStyles>
  <dxfs count="15"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numFmt numFmtId="164" formatCode="0"/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border>
        <left style="thin"/>
        <right style="thin"/>
        <top style="thin"/>
        <bottom style="thin"/>
        <diagonal/>
      </border>
    </dxf>
    <dxf>
      <fill>
        <patternFill>
          <bgColor rgb="00FFC7CE"/>
        </patternFill>
      </fill>
    </dxf>
    <dxf>
      <fill>
        <patternFill>
          <bgColor rgb="00FFEB9C"/>
        </patternFill>
      </fill>
    </dxf>
    <dxf>
      <fill>
        <patternFill>
          <bgColor rgb="00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86EC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2CFEE"/>
      <rgbColor rgb="FF3366FF"/>
      <rgbColor rgb="FF33CCCC"/>
      <rgbColor rgb="FF92D050"/>
      <rgbColor rgb="FFFFC000"/>
      <rgbColor rgb="FFFF9900"/>
      <rgbColor rgb="FFFF6600"/>
      <rgbColor rgb="FF666699"/>
      <rgbColor rgb="FF7F7F7F"/>
      <rgbColor rgb="FF003366"/>
      <rgbColor rgb="FF339966"/>
      <rgbColor rgb="FF003300"/>
      <rgbColor rgb="FF212121"/>
      <rgbColor rgb="FF993300"/>
      <rgbColor rgb="FF993366"/>
      <rgbColor rgb="FF333399"/>
      <rgbColor rgb="FF262626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ferrifx1/AppData/Local/Microsoft/Windows/INetCache/Content.Outlook/6NJRM7UZ/Instrument%20Summary%20(1).csv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Instrument Summary (1)"/>
    </sheetNames>
    <sheetDataSet>
      <sheetData sheetId="0">
        <row r="5">
          <cell r="A5" t="str">
            <v>a1AGP</v>
          </cell>
          <cell r="B5">
            <v>102</v>
          </cell>
        </row>
        <row r="5">
          <cell r="E5">
            <v>102</v>
          </cell>
        </row>
        <row r="6">
          <cell r="A6" t="str">
            <v>a1AT</v>
          </cell>
          <cell r="B6">
            <v>118.666666666667</v>
          </cell>
        </row>
        <row r="6">
          <cell r="E6">
            <v>118.666666666667</v>
          </cell>
        </row>
        <row r="7">
          <cell r="A7" t="str">
            <v>A-ALT</v>
          </cell>
          <cell r="B7">
            <v>15328</v>
          </cell>
        </row>
        <row r="7">
          <cell r="E7">
            <v>15328</v>
          </cell>
        </row>
        <row r="8">
          <cell r="A8" t="str">
            <v>A-AST</v>
          </cell>
          <cell r="B8">
            <v>14228.3333333333</v>
          </cell>
        </row>
        <row r="8">
          <cell r="E8">
            <v>14228.3333333333</v>
          </cell>
        </row>
        <row r="9">
          <cell r="A9" t="str">
            <v>AFP</v>
          </cell>
        </row>
        <row r="9">
          <cell r="C9">
            <v>392</v>
          </cell>
        </row>
        <row r="9">
          <cell r="E9">
            <v>392</v>
          </cell>
        </row>
        <row r="10">
          <cell r="A10" t="str">
            <v>AlbBCG2</v>
          </cell>
          <cell r="B10">
            <v>1439</v>
          </cell>
        </row>
        <row r="10">
          <cell r="E10">
            <v>1439</v>
          </cell>
        </row>
        <row r="11">
          <cell r="A11" t="str">
            <v>AlkP2F</v>
          </cell>
          <cell r="B11">
            <v>3508</v>
          </cell>
        </row>
        <row r="11">
          <cell r="E11">
            <v>3508</v>
          </cell>
        </row>
        <row r="12">
          <cell r="A12" t="str">
            <v>Ammonia</v>
          </cell>
          <cell r="B12">
            <v>302</v>
          </cell>
        </row>
        <row r="12">
          <cell r="E12">
            <v>302</v>
          </cell>
        </row>
        <row r="13">
          <cell r="A13" t="str">
            <v>AmpSQ</v>
          </cell>
          <cell r="B13">
            <v>341.666666666667</v>
          </cell>
        </row>
        <row r="13">
          <cell r="E13">
            <v>341.666666666667</v>
          </cell>
        </row>
        <row r="14">
          <cell r="A14" t="str">
            <v>AMY2F</v>
          </cell>
          <cell r="B14">
            <v>1310.33333333333</v>
          </cell>
        </row>
        <row r="14">
          <cell r="E14">
            <v>1310.33333333333</v>
          </cell>
        </row>
        <row r="15">
          <cell r="A15" t="str">
            <v>AMY2-UF</v>
          </cell>
          <cell r="B15">
            <v>203.333333333333</v>
          </cell>
        </row>
        <row r="15">
          <cell r="E15">
            <v>203.333333333333</v>
          </cell>
        </row>
        <row r="16">
          <cell r="A16" t="str">
            <v>Anti-HBc</v>
          </cell>
        </row>
        <row r="16">
          <cell r="C16">
            <v>515</v>
          </cell>
        </row>
        <row r="16">
          <cell r="E16">
            <v>515</v>
          </cell>
        </row>
        <row r="17">
          <cell r="A17" t="str">
            <v>Anti-HBc M</v>
          </cell>
        </row>
        <row r="17">
          <cell r="C17">
            <v>417.666666666667</v>
          </cell>
        </row>
        <row r="17">
          <cell r="E17">
            <v>417.666666666667</v>
          </cell>
        </row>
        <row r="18">
          <cell r="A18" t="str">
            <v>Anti-HBe</v>
          </cell>
        </row>
        <row r="18">
          <cell r="C18">
            <v>416.333333333333</v>
          </cell>
        </row>
        <row r="18">
          <cell r="E18">
            <v>416.333333333333</v>
          </cell>
        </row>
        <row r="19">
          <cell r="A19" t="str">
            <v>AntiHBsdil</v>
          </cell>
        </row>
        <row r="19">
          <cell r="C19">
            <v>1334.33333333333</v>
          </cell>
        </row>
        <row r="19">
          <cell r="E19">
            <v>1334.33333333333</v>
          </cell>
        </row>
        <row r="20">
          <cell r="A20" t="str">
            <v>Anti-HCVII</v>
          </cell>
        </row>
        <row r="20">
          <cell r="C20">
            <v>1598.33333333333</v>
          </cell>
        </row>
        <row r="20">
          <cell r="E20">
            <v>1598.33333333333</v>
          </cell>
        </row>
        <row r="21">
          <cell r="A21" t="str">
            <v>Anti-Tg</v>
          </cell>
        </row>
        <row r="21">
          <cell r="C21">
            <v>767.333333333333</v>
          </cell>
        </row>
        <row r="21">
          <cell r="E21">
            <v>767.333333333333</v>
          </cell>
        </row>
        <row r="22">
          <cell r="A22" t="str">
            <v>Anti-TPO</v>
          </cell>
        </row>
        <row r="22">
          <cell r="C22">
            <v>730.333333333333</v>
          </cell>
        </row>
        <row r="22">
          <cell r="E22">
            <v>730.333333333333</v>
          </cell>
        </row>
        <row r="23">
          <cell r="A23" t="str">
            <v>APOA1</v>
          </cell>
          <cell r="B23">
            <v>130.666666666667</v>
          </cell>
        </row>
        <row r="23">
          <cell r="E23">
            <v>130.666666666667</v>
          </cell>
        </row>
        <row r="24">
          <cell r="A24" t="str">
            <v>APOB</v>
          </cell>
          <cell r="B24">
            <v>196.666666666667</v>
          </cell>
        </row>
        <row r="24">
          <cell r="E24">
            <v>196.666666666667</v>
          </cell>
        </row>
        <row r="25">
          <cell r="A25" t="str">
            <v>ASO</v>
          </cell>
          <cell r="B25">
            <v>170.666666666667</v>
          </cell>
        </row>
        <row r="25">
          <cell r="E25">
            <v>170.666666666667</v>
          </cell>
        </row>
        <row r="26">
          <cell r="A26" t="str">
            <v>B2M</v>
          </cell>
          <cell r="B26">
            <v>290.333333333333</v>
          </cell>
        </row>
        <row r="26">
          <cell r="E26">
            <v>290.333333333333</v>
          </cell>
        </row>
        <row r="27">
          <cell r="A27" t="str">
            <v>BarbSQ</v>
          </cell>
          <cell r="B27">
            <v>98.3333333333333</v>
          </cell>
        </row>
        <row r="27">
          <cell r="E27">
            <v>98.3333333333333</v>
          </cell>
        </row>
        <row r="28">
          <cell r="A28" t="str">
            <v>BenzSQ</v>
          </cell>
          <cell r="B28">
            <v>420</v>
          </cell>
        </row>
        <row r="28">
          <cell r="E28">
            <v>420</v>
          </cell>
        </row>
        <row r="29">
          <cell r="A29" t="str">
            <v>B-hCG</v>
          </cell>
        </row>
        <row r="29">
          <cell r="C29">
            <v>515.666666666667</v>
          </cell>
        </row>
        <row r="29">
          <cell r="E29">
            <v>515.666666666667</v>
          </cell>
        </row>
        <row r="30">
          <cell r="A30" t="str">
            <v>Bile Acids</v>
          </cell>
          <cell r="B30">
            <v>159.666666666667</v>
          </cell>
        </row>
        <row r="30">
          <cell r="E30">
            <v>159.666666666667</v>
          </cell>
        </row>
        <row r="31">
          <cell r="A31" t="str">
            <v>Bili D</v>
          </cell>
          <cell r="B31">
            <v>9057.33333333333</v>
          </cell>
        </row>
        <row r="31">
          <cell r="E31">
            <v>9057.33333333333</v>
          </cell>
        </row>
        <row r="32">
          <cell r="A32" t="str">
            <v>BNP</v>
          </cell>
        </row>
        <row r="32">
          <cell r="C32">
            <v>1566.66666666667</v>
          </cell>
        </row>
        <row r="32">
          <cell r="E32">
            <v>1566.66666666667</v>
          </cell>
        </row>
        <row r="33">
          <cell r="A33" t="str">
            <v>BUP SQ</v>
          </cell>
          <cell r="B33">
            <v>210.666666666667</v>
          </cell>
        </row>
        <row r="33">
          <cell r="E33">
            <v>210.666666666667</v>
          </cell>
        </row>
        <row r="34">
          <cell r="A34" t="str">
            <v>C3</v>
          </cell>
          <cell r="B34">
            <v>236</v>
          </cell>
        </row>
        <row r="34">
          <cell r="E34">
            <v>236</v>
          </cell>
        </row>
        <row r="35">
          <cell r="A35" t="str">
            <v>C4</v>
          </cell>
          <cell r="B35">
            <v>239.666666666667</v>
          </cell>
        </row>
        <row r="35">
          <cell r="E35">
            <v>239.666666666667</v>
          </cell>
        </row>
        <row r="36">
          <cell r="A36" t="str">
            <v>CA 125 II</v>
          </cell>
        </row>
        <row r="36">
          <cell r="C36">
            <v>441.666666666667</v>
          </cell>
        </row>
        <row r="36">
          <cell r="E36">
            <v>441.666666666667</v>
          </cell>
        </row>
        <row r="37">
          <cell r="A37" t="str">
            <v>CA 15-3</v>
          </cell>
        </row>
        <row r="37">
          <cell r="C37">
            <v>491.666666666667</v>
          </cell>
        </row>
        <row r="37">
          <cell r="E37">
            <v>491.666666666667</v>
          </cell>
        </row>
        <row r="38">
          <cell r="A38" t="str">
            <v>CA19-9XR</v>
          </cell>
        </row>
        <row r="38">
          <cell r="C38">
            <v>480.333333333333</v>
          </cell>
        </row>
        <row r="38">
          <cell r="E38">
            <v>480.333333333333</v>
          </cell>
        </row>
        <row r="39">
          <cell r="A39" t="str">
            <v>CaC2</v>
          </cell>
          <cell r="B39">
            <v>10161.6666666667</v>
          </cell>
        </row>
        <row r="39">
          <cell r="E39">
            <v>10161.6666666667</v>
          </cell>
        </row>
        <row r="40">
          <cell r="A40" t="str">
            <v>CaC2-U</v>
          </cell>
          <cell r="B40">
            <v>279</v>
          </cell>
        </row>
        <row r="40">
          <cell r="E40">
            <v>279</v>
          </cell>
        </row>
        <row r="41">
          <cell r="A41" t="str">
            <v>Carb</v>
          </cell>
          <cell r="B41">
            <v>166.666666666667</v>
          </cell>
        </row>
        <row r="41">
          <cell r="E41">
            <v>166.666666666667</v>
          </cell>
        </row>
        <row r="42">
          <cell r="A42" t="str">
            <v>CEA</v>
          </cell>
        </row>
        <row r="42">
          <cell r="C42">
            <v>789.333333333333</v>
          </cell>
        </row>
        <row r="42">
          <cell r="E42">
            <v>789.333333333333</v>
          </cell>
        </row>
        <row r="43">
          <cell r="A43" t="str">
            <v>Cerulo</v>
          </cell>
          <cell r="B43">
            <v>133.333333333333</v>
          </cell>
        </row>
        <row r="43">
          <cell r="E43">
            <v>133.333333333333</v>
          </cell>
        </row>
        <row r="44">
          <cell r="A44" t="str">
            <v>CHE</v>
          </cell>
          <cell r="B44">
            <v>2192</v>
          </cell>
        </row>
        <row r="44">
          <cell r="E44">
            <v>2192</v>
          </cell>
        </row>
        <row r="45">
          <cell r="A45" t="str">
            <v>Chol2</v>
          </cell>
          <cell r="B45">
            <v>8868.66666666667</v>
          </cell>
        </row>
        <row r="45">
          <cell r="E45">
            <v>8868.66666666667</v>
          </cell>
        </row>
        <row r="46">
          <cell r="A46" t="str">
            <v>CK</v>
          </cell>
          <cell r="B46">
            <v>5522.66666666667</v>
          </cell>
        </row>
        <row r="46">
          <cell r="E46">
            <v>5522.66666666667</v>
          </cell>
        </row>
        <row r="47">
          <cell r="A47" t="str">
            <v>CK-MB STAT</v>
          </cell>
        </row>
        <row r="47">
          <cell r="C47">
            <v>1431.33333333333</v>
          </cell>
        </row>
        <row r="47">
          <cell r="E47">
            <v>1431.33333333333</v>
          </cell>
        </row>
        <row r="48">
          <cell r="A48" t="str">
            <v>Cl-C</v>
          </cell>
          <cell r="B48">
            <v>6913.33333333333</v>
          </cell>
        </row>
        <row r="48">
          <cell r="E48">
            <v>6913.33333333333</v>
          </cell>
        </row>
        <row r="49">
          <cell r="A49" t="str">
            <v>Cl-CU</v>
          </cell>
          <cell r="B49">
            <v>924.666666666667</v>
          </cell>
        </row>
        <row r="49">
          <cell r="E49">
            <v>924.666666666667</v>
          </cell>
        </row>
        <row r="50">
          <cell r="A50" t="str">
            <v>CocSQ1</v>
          </cell>
          <cell r="B50">
            <v>804</v>
          </cell>
        </row>
        <row r="50">
          <cell r="E50">
            <v>804</v>
          </cell>
        </row>
        <row r="51">
          <cell r="A51" t="str">
            <v>Cortisol</v>
          </cell>
        </row>
        <row r="51">
          <cell r="C51">
            <v>331</v>
          </cell>
        </row>
        <row r="51">
          <cell r="E51">
            <v>331</v>
          </cell>
        </row>
        <row r="52">
          <cell r="A52" t="str">
            <v>C-Peptide</v>
          </cell>
        </row>
        <row r="52">
          <cell r="C52">
            <v>151.666666666667</v>
          </cell>
        </row>
        <row r="52">
          <cell r="E52">
            <v>151.666666666667</v>
          </cell>
        </row>
        <row r="53">
          <cell r="A53" t="str">
            <v>CrEnz</v>
          </cell>
          <cell r="B53">
            <v>17885.6666666667</v>
          </cell>
        </row>
        <row r="53">
          <cell r="E53">
            <v>17885.6666666667</v>
          </cell>
        </row>
        <row r="54">
          <cell r="A54" t="str">
            <v>CrEnzU</v>
          </cell>
          <cell r="B54">
            <v>2420</v>
          </cell>
        </row>
        <row r="54">
          <cell r="E54">
            <v>2420</v>
          </cell>
        </row>
        <row r="55">
          <cell r="A55" t="str">
            <v>CRP16</v>
          </cell>
          <cell r="B55">
            <v>9135.66666666667</v>
          </cell>
        </row>
        <row r="55">
          <cell r="E55">
            <v>9135.66666666667</v>
          </cell>
        </row>
        <row r="56">
          <cell r="A56" t="str">
            <v>Cyclo</v>
          </cell>
        </row>
        <row r="56">
          <cell r="C56">
            <v>55</v>
          </cell>
        </row>
        <row r="56">
          <cell r="E56">
            <v>55</v>
          </cell>
        </row>
        <row r="57">
          <cell r="A57" t="str">
            <v>DHEA-S</v>
          </cell>
        </row>
        <row r="57">
          <cell r="C57">
            <v>180.333333333333</v>
          </cell>
        </row>
        <row r="57">
          <cell r="E57">
            <v>180.333333333333</v>
          </cell>
        </row>
        <row r="58">
          <cell r="A58" t="str">
            <v>DIBCH</v>
          </cell>
          <cell r="B58">
            <v>710.333333333333</v>
          </cell>
        </row>
        <row r="58">
          <cell r="E58">
            <v>710.333333333333</v>
          </cell>
        </row>
        <row r="59">
          <cell r="A59" t="str">
            <v>Digoxin</v>
          </cell>
          <cell r="B59">
            <v>116.333333333333</v>
          </cell>
        </row>
        <row r="59">
          <cell r="E59">
            <v>116.333333333333</v>
          </cell>
        </row>
        <row r="60">
          <cell r="A60" t="str">
            <v>Direct LDL</v>
          </cell>
          <cell r="B60">
            <v>3502.66666666667</v>
          </cell>
        </row>
        <row r="60">
          <cell r="E60">
            <v>3502.66666666667</v>
          </cell>
        </row>
        <row r="61">
          <cell r="A61" t="str">
            <v>EcstSQ</v>
          </cell>
          <cell r="B61">
            <v>101</v>
          </cell>
        </row>
        <row r="61">
          <cell r="E61">
            <v>101</v>
          </cell>
        </row>
        <row r="62">
          <cell r="A62" t="str">
            <v>Estradiol</v>
          </cell>
        </row>
        <row r="62">
          <cell r="C62">
            <v>274.666666666667</v>
          </cell>
        </row>
        <row r="62">
          <cell r="E62">
            <v>274.666666666667</v>
          </cell>
        </row>
        <row r="63">
          <cell r="A63" t="str">
            <v>Ethanol</v>
          </cell>
          <cell r="B63">
            <v>239.333333333333</v>
          </cell>
        </row>
        <row r="63">
          <cell r="E63">
            <v>239.333333333333</v>
          </cell>
        </row>
        <row r="64">
          <cell r="A64" t="str">
            <v>Ferritin</v>
          </cell>
        </row>
        <row r="64">
          <cell r="C64">
            <v>5479.33333333333</v>
          </cell>
        </row>
        <row r="64">
          <cell r="E64">
            <v>5479.33333333333</v>
          </cell>
        </row>
        <row r="65">
          <cell r="A65" t="str">
            <v>Folate</v>
          </cell>
        </row>
        <row r="65">
          <cell r="C65">
            <v>1912.33333333333</v>
          </cell>
        </row>
        <row r="65">
          <cell r="E65">
            <v>1912.33333333333</v>
          </cell>
        </row>
        <row r="66">
          <cell r="A66" t="str">
            <v>Free PSA</v>
          </cell>
        </row>
        <row r="66">
          <cell r="C66">
            <v>970.333333333333</v>
          </cell>
        </row>
        <row r="66">
          <cell r="E66">
            <v>970.333333333333</v>
          </cell>
        </row>
        <row r="67">
          <cell r="A67" t="str">
            <v>Free T3</v>
          </cell>
        </row>
        <row r="67">
          <cell r="C67">
            <v>2954.66666666667</v>
          </cell>
        </row>
        <row r="67">
          <cell r="E67">
            <v>2954.66666666667</v>
          </cell>
        </row>
        <row r="68">
          <cell r="A68" t="str">
            <v>Free T4</v>
          </cell>
        </row>
        <row r="68">
          <cell r="C68">
            <v>3742.66666666667</v>
          </cell>
        </row>
        <row r="68">
          <cell r="E68">
            <v>3742.66666666667</v>
          </cell>
        </row>
        <row r="69">
          <cell r="A69" t="str">
            <v>FSH</v>
          </cell>
        </row>
        <row r="69">
          <cell r="C69">
            <v>320.333333333333</v>
          </cell>
        </row>
        <row r="69">
          <cell r="E69">
            <v>320.333333333333</v>
          </cell>
        </row>
        <row r="70">
          <cell r="A70" t="str">
            <v>G6PD NURA</v>
          </cell>
          <cell r="B70">
            <v>33</v>
          </cell>
        </row>
        <row r="70">
          <cell r="E70">
            <v>33</v>
          </cell>
        </row>
        <row r="71">
          <cell r="A71" t="str">
            <v>G6PD NURB</v>
          </cell>
          <cell r="B71">
            <v>33.3333333333333</v>
          </cell>
        </row>
        <row r="71">
          <cell r="E71">
            <v>33.3333333333333</v>
          </cell>
        </row>
        <row r="72">
          <cell r="A72" t="str">
            <v>G6PDH NUR</v>
          </cell>
          <cell r="B72">
            <v>7.33333333333333</v>
          </cell>
        </row>
        <row r="72">
          <cell r="E72">
            <v>7.33333333333333</v>
          </cell>
        </row>
        <row r="73">
          <cell r="A73" t="str">
            <v>Gentamicin</v>
          </cell>
          <cell r="B73">
            <v>1</v>
          </cell>
        </row>
        <row r="73">
          <cell r="E73">
            <v>1</v>
          </cell>
        </row>
        <row r="74">
          <cell r="A74" t="str">
            <v>GGT2</v>
          </cell>
          <cell r="B74">
            <v>8476.33333333333</v>
          </cell>
        </row>
        <row r="74">
          <cell r="E74">
            <v>8476.33333333333</v>
          </cell>
        </row>
        <row r="75">
          <cell r="A75" t="str">
            <v>Glucose</v>
          </cell>
          <cell r="B75">
            <v>16384</v>
          </cell>
        </row>
        <row r="75">
          <cell r="E75">
            <v>16384</v>
          </cell>
        </row>
        <row r="76">
          <cell r="A76" t="str">
            <v>Glucose CU</v>
          </cell>
          <cell r="B76">
            <v>230</v>
          </cell>
        </row>
        <row r="76">
          <cell r="E76">
            <v>230</v>
          </cell>
        </row>
        <row r="77">
          <cell r="A77" t="str">
            <v>Haptoglob</v>
          </cell>
          <cell r="B77">
            <v>149</v>
          </cell>
        </row>
        <row r="77">
          <cell r="E77">
            <v>149</v>
          </cell>
        </row>
        <row r="78">
          <cell r="A78" t="str">
            <v>HAVAb IgM</v>
          </cell>
        </row>
        <row r="78">
          <cell r="C78">
            <v>124.666666666667</v>
          </cell>
        </row>
        <row r="78">
          <cell r="E78">
            <v>124.666666666667</v>
          </cell>
        </row>
        <row r="79">
          <cell r="A79" t="str">
            <v>HAVAb-IgG</v>
          </cell>
        </row>
        <row r="79">
          <cell r="C79">
            <v>132.333333333333</v>
          </cell>
        </row>
        <row r="79">
          <cell r="E79">
            <v>132.333333333333</v>
          </cell>
        </row>
        <row r="80">
          <cell r="A80" t="str">
            <v>HBeAg</v>
          </cell>
        </row>
        <row r="80">
          <cell r="C80">
            <v>411.333333333333</v>
          </cell>
        </row>
        <row r="80">
          <cell r="E80">
            <v>411.333333333333</v>
          </cell>
        </row>
        <row r="81">
          <cell r="A81" t="str">
            <v>HBsAg dil</v>
          </cell>
        </row>
        <row r="81">
          <cell r="C81">
            <v>320</v>
          </cell>
        </row>
        <row r="81">
          <cell r="E81">
            <v>320</v>
          </cell>
        </row>
        <row r="82">
          <cell r="A82" t="str">
            <v>HBsAgNx</v>
          </cell>
        </row>
        <row r="82">
          <cell r="C82">
            <v>1387.66666666667</v>
          </cell>
        </row>
        <row r="82">
          <cell r="E82">
            <v>1387.66666666667</v>
          </cell>
        </row>
        <row r="83">
          <cell r="A83" t="str">
            <v>HE4</v>
          </cell>
        </row>
        <row r="83">
          <cell r="C83">
            <v>141</v>
          </cell>
        </row>
        <row r="83">
          <cell r="E83">
            <v>141</v>
          </cell>
        </row>
        <row r="84">
          <cell r="A84" t="str">
            <v>Hemolysis</v>
          </cell>
          <cell r="B84">
            <v>25319</v>
          </cell>
        </row>
        <row r="84">
          <cell r="E84">
            <v>25319</v>
          </cell>
        </row>
        <row r="85">
          <cell r="A85" t="str">
            <v>HILref</v>
          </cell>
          <cell r="B85">
            <v>25345.6666666667</v>
          </cell>
        </row>
        <row r="85">
          <cell r="E85">
            <v>25345.6666666667</v>
          </cell>
        </row>
        <row r="86">
          <cell r="A86" t="str">
            <v>HIV Ag/Ab</v>
          </cell>
        </row>
        <row r="86">
          <cell r="C86">
            <v>1131</v>
          </cell>
        </row>
        <row r="86">
          <cell r="E86">
            <v>1131</v>
          </cell>
        </row>
        <row r="87">
          <cell r="A87" t="str">
            <v>Icterus</v>
          </cell>
          <cell r="B87">
            <v>25319</v>
          </cell>
        </row>
        <row r="87">
          <cell r="E87">
            <v>25319</v>
          </cell>
        </row>
        <row r="88">
          <cell r="A88" t="str">
            <v>IgA</v>
          </cell>
          <cell r="B88">
            <v>506.666666666667</v>
          </cell>
        </row>
        <row r="88">
          <cell r="E88">
            <v>506.666666666667</v>
          </cell>
        </row>
        <row r="89">
          <cell r="A89" t="str">
            <v>IgE</v>
          </cell>
          <cell r="B89">
            <v>339.666666666667</v>
          </cell>
        </row>
        <row r="89">
          <cell r="E89">
            <v>339.666666666667</v>
          </cell>
        </row>
        <row r="90">
          <cell r="A90" t="str">
            <v>IgG</v>
          </cell>
          <cell r="B90">
            <v>357</v>
          </cell>
        </row>
        <row r="90">
          <cell r="E90">
            <v>357</v>
          </cell>
        </row>
        <row r="91">
          <cell r="A91" t="str">
            <v>IgM</v>
          </cell>
          <cell r="B91">
            <v>347.333333333333</v>
          </cell>
        </row>
        <row r="91">
          <cell r="E91">
            <v>347.333333333333</v>
          </cell>
        </row>
        <row r="92">
          <cell r="A92" t="str">
            <v>Insulin</v>
          </cell>
        </row>
        <row r="92">
          <cell r="C92">
            <v>703.333333333333</v>
          </cell>
        </row>
        <row r="92">
          <cell r="E92">
            <v>703.333333333333</v>
          </cell>
        </row>
        <row r="93">
          <cell r="A93" t="str">
            <v>iPTH Stat</v>
          </cell>
        </row>
        <row r="93">
          <cell r="C93">
            <v>875.666666666667</v>
          </cell>
        </row>
        <row r="93">
          <cell r="E93">
            <v>875.666666666667</v>
          </cell>
        </row>
        <row r="94">
          <cell r="A94" t="str">
            <v>Iron2</v>
          </cell>
          <cell r="B94">
            <v>4757</v>
          </cell>
        </row>
        <row r="94">
          <cell r="E94">
            <v>4757</v>
          </cell>
        </row>
        <row r="95">
          <cell r="A95" t="str">
            <v>K-C</v>
          </cell>
          <cell r="B95">
            <v>12308.6666666667</v>
          </cell>
        </row>
        <row r="95">
          <cell r="E95">
            <v>12308.6666666667</v>
          </cell>
        </row>
        <row r="96">
          <cell r="A96" t="str">
            <v>K-CU</v>
          </cell>
          <cell r="B96">
            <v>929.666666666667</v>
          </cell>
        </row>
        <row r="96">
          <cell r="E96">
            <v>929.666666666667</v>
          </cell>
        </row>
        <row r="97">
          <cell r="A97" t="str">
            <v>LDH2F</v>
          </cell>
          <cell r="B97">
            <v>6414.33333333333</v>
          </cell>
        </row>
        <row r="97">
          <cell r="E97">
            <v>6414.33333333333</v>
          </cell>
        </row>
        <row r="98">
          <cell r="A98" t="str">
            <v>LH</v>
          </cell>
        </row>
        <row r="98">
          <cell r="C98">
            <v>292.666666666667</v>
          </cell>
        </row>
        <row r="98">
          <cell r="E98">
            <v>292.666666666667</v>
          </cell>
        </row>
        <row r="99">
          <cell r="A99" t="str">
            <v>Lip2</v>
          </cell>
          <cell r="B99">
            <v>4001.66666666667</v>
          </cell>
        </row>
        <row r="99">
          <cell r="E99">
            <v>4001.66666666667</v>
          </cell>
        </row>
        <row r="100">
          <cell r="A100" t="str">
            <v>Lipemia</v>
          </cell>
          <cell r="B100">
            <v>25319</v>
          </cell>
        </row>
        <row r="100">
          <cell r="E100">
            <v>25319</v>
          </cell>
        </row>
        <row r="101">
          <cell r="A101" t="str">
            <v>Lithium</v>
          </cell>
          <cell r="B101">
            <v>167.333333333333</v>
          </cell>
        </row>
        <row r="101">
          <cell r="E101">
            <v>167.333333333333</v>
          </cell>
        </row>
        <row r="102">
          <cell r="A102" t="str">
            <v>Magnesium</v>
          </cell>
          <cell r="B102">
            <v>2645.33333333333</v>
          </cell>
        </row>
        <row r="102">
          <cell r="E102">
            <v>2645.33333333333</v>
          </cell>
        </row>
        <row r="103">
          <cell r="A103" t="str">
            <v>MagnesiumU</v>
          </cell>
          <cell r="B103">
            <v>240</v>
          </cell>
        </row>
        <row r="103">
          <cell r="E103">
            <v>240</v>
          </cell>
        </row>
        <row r="104">
          <cell r="A104" t="str">
            <v>MethSQ</v>
          </cell>
          <cell r="B104">
            <v>406.333333333333</v>
          </cell>
        </row>
        <row r="104">
          <cell r="E104">
            <v>406.333333333333</v>
          </cell>
        </row>
        <row r="105">
          <cell r="A105" t="str">
            <v>Microalb</v>
          </cell>
          <cell r="B105">
            <v>1541.66666666667</v>
          </cell>
        </row>
        <row r="105">
          <cell r="E105">
            <v>1541.66666666667</v>
          </cell>
        </row>
        <row r="106">
          <cell r="A106" t="str">
            <v>MTX UNDIL</v>
          </cell>
        </row>
        <row r="106">
          <cell r="C106">
            <v>19</v>
          </cell>
        </row>
        <row r="106">
          <cell r="E106">
            <v>19</v>
          </cell>
        </row>
        <row r="107">
          <cell r="A107" t="str">
            <v>Myo STAT</v>
          </cell>
        </row>
        <row r="107">
          <cell r="C107">
            <v>732.333333333333</v>
          </cell>
        </row>
        <row r="107">
          <cell r="E107">
            <v>732.333333333333</v>
          </cell>
        </row>
        <row r="108">
          <cell r="A108" t="str">
            <v>Na-C</v>
          </cell>
          <cell r="B108">
            <v>12049</v>
          </cell>
        </row>
        <row r="108">
          <cell r="E108">
            <v>12049</v>
          </cell>
        </row>
        <row r="109">
          <cell r="A109" t="str">
            <v>Na-CU</v>
          </cell>
          <cell r="B109">
            <v>948.333333333334</v>
          </cell>
        </row>
        <row r="109">
          <cell r="E109">
            <v>948.333333333334</v>
          </cell>
        </row>
        <row r="110">
          <cell r="A110" t="str">
            <v>Opi1SQ</v>
          </cell>
          <cell r="B110">
            <v>784.666666666667</v>
          </cell>
        </row>
        <row r="110">
          <cell r="E110">
            <v>784.666666666667</v>
          </cell>
        </row>
        <row r="111">
          <cell r="A111" t="str">
            <v>P Amylase</v>
          </cell>
          <cell r="B111">
            <v>3134.66666666667</v>
          </cell>
        </row>
        <row r="111">
          <cell r="E111">
            <v>3134.66666666667</v>
          </cell>
        </row>
        <row r="112">
          <cell r="A112" t="str">
            <v>PCT</v>
          </cell>
        </row>
        <row r="112">
          <cell r="C112">
            <v>1002</v>
          </cell>
        </row>
        <row r="112">
          <cell r="E112">
            <v>1002</v>
          </cell>
        </row>
        <row r="113">
          <cell r="A113" t="str">
            <v>Phenobarb</v>
          </cell>
          <cell r="B113">
            <v>104.666666666667</v>
          </cell>
        </row>
        <row r="113">
          <cell r="E113">
            <v>104.666666666667</v>
          </cell>
        </row>
        <row r="114">
          <cell r="A114" t="str">
            <v>Phenytoin</v>
          </cell>
          <cell r="B114">
            <v>136.333333333333</v>
          </cell>
        </row>
        <row r="114">
          <cell r="E114">
            <v>136.333333333333</v>
          </cell>
        </row>
        <row r="115">
          <cell r="A115" t="str">
            <v>Phos2</v>
          </cell>
          <cell r="B115">
            <v>1702.33333333333</v>
          </cell>
        </row>
        <row r="115">
          <cell r="E115">
            <v>1702.33333333333</v>
          </cell>
        </row>
        <row r="116">
          <cell r="A116" t="str">
            <v>Phos2-U</v>
          </cell>
          <cell r="B116">
            <v>232</v>
          </cell>
        </row>
        <row r="116">
          <cell r="E116">
            <v>232</v>
          </cell>
        </row>
        <row r="117">
          <cell r="A117" t="str">
            <v>Progest</v>
          </cell>
        </row>
        <row r="117">
          <cell r="C117">
            <v>183</v>
          </cell>
        </row>
        <row r="117">
          <cell r="E117">
            <v>183</v>
          </cell>
        </row>
        <row r="118">
          <cell r="A118" t="str">
            <v>Prolactin</v>
          </cell>
        </row>
        <row r="118">
          <cell r="C118">
            <v>423.666666666667</v>
          </cell>
        </row>
        <row r="118">
          <cell r="E118">
            <v>423.666666666667</v>
          </cell>
        </row>
        <row r="119">
          <cell r="A119" t="str">
            <v>RF</v>
          </cell>
          <cell r="B119">
            <v>467.333333333333</v>
          </cell>
        </row>
        <row r="119">
          <cell r="E119">
            <v>467.333333333333</v>
          </cell>
        </row>
        <row r="120">
          <cell r="A120" t="str">
            <v>SHBG</v>
          </cell>
        </row>
        <row r="120">
          <cell r="C120">
            <v>151.666666666667</v>
          </cell>
        </row>
        <row r="120">
          <cell r="E120">
            <v>151.666666666667</v>
          </cell>
        </row>
        <row r="121">
          <cell r="A121" t="str">
            <v>Sirolimus</v>
          </cell>
        </row>
        <row r="121">
          <cell r="C121">
            <v>14.3333333333333</v>
          </cell>
        </row>
        <row r="121">
          <cell r="E121">
            <v>14.3333333333333</v>
          </cell>
        </row>
        <row r="122">
          <cell r="A122" t="str">
            <v>Syphilis</v>
          </cell>
        </row>
        <row r="122">
          <cell r="C122">
            <v>642</v>
          </cell>
        </row>
        <row r="122">
          <cell r="E122">
            <v>642</v>
          </cell>
        </row>
        <row r="123">
          <cell r="A123" t="str">
            <v>Tacrolimus</v>
          </cell>
        </row>
        <row r="123">
          <cell r="C123">
            <v>163.333333333333</v>
          </cell>
        </row>
        <row r="123">
          <cell r="E123">
            <v>163.333333333333</v>
          </cell>
        </row>
        <row r="124">
          <cell r="A124" t="str">
            <v>TBili2</v>
          </cell>
          <cell r="B124">
            <v>9183.33333333333</v>
          </cell>
        </row>
        <row r="124">
          <cell r="E124">
            <v>9183.33333333333</v>
          </cell>
        </row>
        <row r="125">
          <cell r="A125" t="str">
            <v>Testo</v>
          </cell>
        </row>
        <row r="125">
          <cell r="C125">
            <v>410.666666666667</v>
          </cell>
        </row>
        <row r="125">
          <cell r="E125">
            <v>410.666666666667</v>
          </cell>
        </row>
        <row r="126">
          <cell r="A126" t="str">
            <v>Tg</v>
          </cell>
        </row>
        <row r="126">
          <cell r="C126">
            <v>8</v>
          </cell>
        </row>
        <row r="126">
          <cell r="E126">
            <v>8</v>
          </cell>
        </row>
        <row r="127">
          <cell r="A127" t="str">
            <v>THC1SQ</v>
          </cell>
          <cell r="B127">
            <v>776</v>
          </cell>
        </row>
        <row r="127">
          <cell r="E127">
            <v>776</v>
          </cell>
        </row>
        <row r="128">
          <cell r="A128" t="str">
            <v>tHCY-DIL</v>
          </cell>
        </row>
        <row r="128">
          <cell r="C128">
            <v>17</v>
          </cell>
        </row>
        <row r="128">
          <cell r="E128">
            <v>17</v>
          </cell>
        </row>
        <row r="129">
          <cell r="A129" t="str">
            <v>tHCY-UNDIL</v>
          </cell>
        </row>
        <row r="129">
          <cell r="C129">
            <v>772.333333333333</v>
          </cell>
        </row>
        <row r="129">
          <cell r="E129">
            <v>772.333333333333</v>
          </cell>
        </row>
        <row r="130">
          <cell r="A130" t="str">
            <v>Theo</v>
          </cell>
          <cell r="B130">
            <v>100</v>
          </cell>
        </row>
        <row r="130">
          <cell r="E130">
            <v>100</v>
          </cell>
        </row>
        <row r="131">
          <cell r="A131" t="str">
            <v>TnI MI RS</v>
          </cell>
        </row>
        <row r="131">
          <cell r="C131">
            <v>3267.66666666667</v>
          </cell>
        </row>
        <row r="131">
          <cell r="E131">
            <v>3267.66666666667</v>
          </cell>
        </row>
        <row r="132">
          <cell r="A132" t="str">
            <v>Total PSA</v>
          </cell>
        </row>
        <row r="132">
          <cell r="C132">
            <v>2875.33333333333</v>
          </cell>
        </row>
        <row r="132">
          <cell r="E132">
            <v>2875.33333333333</v>
          </cell>
        </row>
        <row r="133">
          <cell r="A133" t="str">
            <v>TPRO2</v>
          </cell>
          <cell r="B133">
            <v>11518</v>
          </cell>
        </row>
        <row r="133">
          <cell r="E133">
            <v>11518</v>
          </cell>
        </row>
        <row r="134">
          <cell r="A134" t="str">
            <v>Transf</v>
          </cell>
          <cell r="B134">
            <v>1419.33333333333</v>
          </cell>
        </row>
        <row r="134">
          <cell r="E134">
            <v>1419.33333333333</v>
          </cell>
        </row>
        <row r="135">
          <cell r="A135" t="str">
            <v>Trig2</v>
          </cell>
          <cell r="B135">
            <v>8960.33333333333</v>
          </cell>
        </row>
        <row r="135">
          <cell r="E135">
            <v>8960.33333333333</v>
          </cell>
        </row>
        <row r="136">
          <cell r="A136" t="str">
            <v>TSH</v>
          </cell>
        </row>
        <row r="136">
          <cell r="C136">
            <v>5621.66666666667</v>
          </cell>
        </row>
        <row r="136">
          <cell r="E136">
            <v>5621.66666666667</v>
          </cell>
        </row>
        <row r="137">
          <cell r="A137" t="str">
            <v>U/CSF Prot</v>
          </cell>
          <cell r="B137">
            <v>351</v>
          </cell>
        </row>
        <row r="137">
          <cell r="E137">
            <v>351</v>
          </cell>
        </row>
        <row r="138">
          <cell r="A138" t="str">
            <v>Ultra HDL</v>
          </cell>
          <cell r="B138">
            <v>8045</v>
          </cell>
        </row>
        <row r="138">
          <cell r="E138">
            <v>8045</v>
          </cell>
        </row>
        <row r="139">
          <cell r="A139" t="str">
            <v>Urea</v>
          </cell>
          <cell r="B139">
            <v>13279</v>
          </cell>
        </row>
        <row r="139">
          <cell r="E139">
            <v>13279</v>
          </cell>
        </row>
        <row r="140">
          <cell r="A140" t="str">
            <v>UreaU</v>
          </cell>
          <cell r="B140">
            <v>448</v>
          </cell>
        </row>
        <row r="140">
          <cell r="E140">
            <v>448</v>
          </cell>
        </row>
        <row r="141">
          <cell r="A141" t="str">
            <v>Uric2</v>
          </cell>
          <cell r="B141">
            <v>6156.33333333333</v>
          </cell>
        </row>
        <row r="141">
          <cell r="E141">
            <v>6156.33333333333</v>
          </cell>
        </row>
        <row r="142">
          <cell r="A142" t="str">
            <v>Uric2-U</v>
          </cell>
          <cell r="B142">
            <v>244</v>
          </cell>
        </row>
        <row r="142">
          <cell r="E142">
            <v>244</v>
          </cell>
        </row>
        <row r="143">
          <cell r="A143" t="str">
            <v>Valproic</v>
          </cell>
          <cell r="B143">
            <v>169</v>
          </cell>
        </row>
        <row r="143">
          <cell r="E143">
            <v>169</v>
          </cell>
        </row>
        <row r="144">
          <cell r="A144" t="str">
            <v>Vancomycin</v>
          </cell>
          <cell r="B144">
            <v>103.333333333333</v>
          </cell>
        </row>
        <row r="144">
          <cell r="E144">
            <v>103.333333333333</v>
          </cell>
        </row>
        <row r="145">
          <cell r="A145" t="str">
            <v>Vit D25OH</v>
          </cell>
        </row>
        <row r="145">
          <cell r="C145">
            <v>4695.66666666667</v>
          </cell>
        </row>
        <row r="145">
          <cell r="E145">
            <v>4695.66666666667</v>
          </cell>
        </row>
        <row r="146">
          <cell r="A146" t="str">
            <v>VitaminB12</v>
          </cell>
        </row>
        <row r="146">
          <cell r="C146">
            <v>1977.66666666667</v>
          </cell>
        </row>
        <row r="146">
          <cell r="E146">
            <v>1977.66666666667</v>
          </cell>
        </row>
      </sheetData>
      <sheetData sheetId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3" recordCount="290" r:id="rId1">
  <cacheSource type="worksheet">
    <worksheetSource ref="A:M" sheet="DPCache_Instrument Summary (1)"/>
  </cacheSource>
  <cacheFields count="13">
    <cacheField name="MODULE_SERIAL" uniqueList="1" numFmtId="0" sqlType="0" hierarchy="0" level="0" databaseField="1">
      <sharedItems count="3" containsBlank="1">
        <s v="AC04860"/>
        <s v="AI22529"/>
        <m/>
      </sharedItems>
    </cacheField>
    <cacheField name="MODULE_TYPE" uniqueList="1" numFmtId="0" sqlType="0" hierarchy="0" level="0" databaseField="1">
      <sharedItems count="3" containsBlank="1">
        <s v="Alinity c"/>
        <s v="Alinity i"/>
        <m/>
      </sharedItems>
    </cacheField>
    <cacheField name="ASSAY_NAME" uniqueList="1" numFmtId="0" sqlType="0" hierarchy="0" level="0" databaseField="1">
      <sharedItems count="143" containsBlank="1">
        <s v="A-ALT"/>
        <s v="A-AST"/>
        <s v="a1AGP"/>
        <s v="a1AT"/>
        <s v="AFP"/>
        <s v="AlbBCG2"/>
        <s v="AlkP2F"/>
        <s v="Ammonia"/>
        <s v="AmpSQ"/>
        <s v="AMY2-UF"/>
        <s v="AMY2F"/>
        <s v="Anti-HBc"/>
        <s v="Anti-HBc M"/>
        <s v="Anti-HBe"/>
        <s v="Anti-HCVII"/>
        <s v="Anti-Tg"/>
        <s v="Anti-TPO"/>
        <s v="AntiHBsdil"/>
        <s v="APOA1"/>
        <s v="APOB"/>
        <s v="ASO"/>
        <s v="B-hCG"/>
        <s v="B2M"/>
        <s v="BarbSQ"/>
        <s v="BenzSQ"/>
        <s v="Bile Acids"/>
        <s v="Bili D"/>
        <s v="BNP"/>
        <s v="BUP SQ"/>
        <s v="C-Peptide"/>
        <s v="C3"/>
        <s v="C4"/>
        <s v="CA 125 II"/>
        <s v="CA 15-3"/>
        <s v="CA19-9XR"/>
        <s v="CaC2"/>
        <s v="CaC2-U"/>
        <s v="Carb"/>
        <s v="CEA"/>
        <s v="Cerulo"/>
        <s v="CHE"/>
        <s v="Chol2"/>
        <s v="CK"/>
        <s v="CK-MB STAT"/>
        <s v="Cl-C"/>
        <s v="Cl-CU"/>
        <s v="CocSQ1"/>
        <s v="Cortisol"/>
        <s v="CrEnz"/>
        <s v="CrEnzU"/>
        <s v="CRP16"/>
        <s v="Cyclo"/>
        <s v="DHEA-S"/>
        <s v="DIBCH"/>
        <s v="Digoxin"/>
        <s v="Direct LDL"/>
        <s v="EcstSQ"/>
        <s v="Estradiol"/>
        <s v="Ethanol"/>
        <s v="Ferritin"/>
        <s v="Folate"/>
        <s v="Free PSA"/>
        <s v="Free T3"/>
        <s v="Free T4"/>
        <s v="FSH"/>
        <s v="G6PD NURA"/>
        <s v="G6PD NURB"/>
        <s v="G6PDH NUR"/>
        <s v="Gentamicin"/>
        <s v="GGT2"/>
        <s v="Glucose"/>
        <s v="Glucose CU"/>
        <s v="Haptoglob"/>
        <s v="HAVAb IgM"/>
        <s v="HAVAb-IgG"/>
        <s v="HBeAg"/>
        <s v="HBsAg dil"/>
        <s v="HBsAgNx"/>
        <s v="HE4"/>
        <s v="Hemolysis"/>
        <s v="HILref"/>
        <s v="HIV Ag/Ab"/>
        <s v="Icterus"/>
        <s v="IgA"/>
        <s v="IgE"/>
        <s v="IgG"/>
        <s v="IgM"/>
        <s v="Insulin"/>
        <s v="iPTH Stat"/>
        <s v="Iron2"/>
        <s v="K-C"/>
        <s v="K-CU"/>
        <s v="LDH2F"/>
        <s v="LH"/>
        <s v="Lip2"/>
        <s v="Lipemia"/>
        <s v="Lithium"/>
        <s v="Magnesium"/>
        <s v="MagnesiumU"/>
        <s v="MethSQ"/>
        <s v="Microalb"/>
        <s v="MTX UNDIL"/>
        <s v="Myo STAT"/>
        <s v="Na-C"/>
        <s v="Na-CU"/>
        <s v="Opi1SQ"/>
        <s v="P Amylase"/>
        <s v="PCT"/>
        <s v="Phenobarb"/>
        <s v="Phenytoin"/>
        <s v="Phos2"/>
        <s v="Phos2-U"/>
        <s v="Progest"/>
        <s v="Prolactin"/>
        <s v="RF"/>
        <s v="SHBG"/>
        <s v="Sirolimus"/>
        <s v="Syphilis"/>
        <s v="Tacrolimus"/>
        <s v="TBili2"/>
        <s v="Testo"/>
        <s v="Tg"/>
        <s v="THC1SQ"/>
        <s v="tHCY-DIL"/>
        <s v="tHCY-UNDIL"/>
        <s v="Theo"/>
        <s v="TnI MI RS"/>
        <s v="Total PSA"/>
        <s v="TPRO2"/>
        <s v="Transf"/>
        <s v="Trig2"/>
        <s v="TSH"/>
        <s v="U/CSF Prot"/>
        <s v="Ultra HDL"/>
        <s v="Urea"/>
        <s v="UreaU"/>
        <s v="Uric2"/>
        <s v="Uric2-U"/>
        <s v="Valproic"/>
        <s v="Vancomycin"/>
        <s v="Vit D25OH"/>
        <s v="VitaminB12"/>
        <m/>
      </sharedItems>
    </cacheField>
    <cacheField name="ASSAY_NUMBER" uniqueList="1" numFmtId="0" sqlType="0" hierarchy="0" level="0" databaseField="1">
      <sharedItems count="143" containsBlank="1" containsInteger="1" containsNumber="1" containsString="0" minValue="10" maxValue="2244">
        <n v="10"/>
        <n v="47"/>
        <n v="66"/>
        <n v="67"/>
        <n v="68"/>
        <n v="88"/>
        <n v="97"/>
        <n v="106"/>
        <n v="117"/>
        <n v="174"/>
        <n v="183"/>
        <n v="184"/>
        <n v="193"/>
        <n v="199"/>
        <n v="207"/>
        <n v="248"/>
        <n v="272"/>
        <n v="277"/>
        <n v="286"/>
        <n v="288"/>
        <n v="309"/>
        <n v="328"/>
        <n v="349"/>
        <n v="355"/>
        <n v="358"/>
        <n v="378"/>
        <n v="392"/>
        <n v="396"/>
        <n v="416"/>
        <n v="420"/>
        <n v="487"/>
        <n v="488"/>
        <n v="521"/>
        <n v="565"/>
        <n v="567"/>
        <n v="593"/>
        <n v="594"/>
        <n v="598"/>
        <n v="607"/>
        <n v="631"/>
        <n v="642"/>
        <n v="645"/>
        <n v="654"/>
        <n v="657"/>
        <n v="658"/>
        <n v="682"/>
        <n v="693"/>
        <n v="699"/>
        <n v="729"/>
        <n v="774"/>
        <n v="797"/>
        <n v="800"/>
        <n v="826"/>
        <n v="837"/>
        <n v="1005"/>
        <n v="1032"/>
        <n v="1036"/>
        <n v="1044"/>
        <n v="1046"/>
        <n v="1053"/>
        <n v="1054"/>
        <n v="1055"/>
        <n v="1056"/>
        <n v="1057"/>
        <n v="1058"/>
        <n v="1059"/>
        <n v="1060"/>
        <n v="1065"/>
        <n v="1069"/>
        <n v="1070"/>
        <n v="1071"/>
        <n v="1072"/>
        <n v="1073"/>
        <n v="1074"/>
        <n v="1095"/>
        <n v="1099"/>
        <n v="1101"/>
        <n v="1102"/>
        <n v="1103"/>
        <n v="1133"/>
        <n v="1134"/>
        <n v="1135"/>
        <n v="1226"/>
        <n v="1251"/>
        <n v="1293"/>
        <n v="1400"/>
        <n v="1406"/>
        <n v="1413"/>
        <n v="1415"/>
        <n v="1417"/>
        <n v="1420"/>
        <n v="1422"/>
        <n v="1429"/>
        <n v="1431"/>
        <n v="1440"/>
        <n v="1442"/>
        <n v="1444"/>
        <n v="1446"/>
        <n v="1449"/>
        <n v="1456"/>
        <n v="1460"/>
        <n v="1472"/>
        <n v="1476"/>
        <n v="1836"/>
        <n v="1837"/>
        <n v="1839"/>
        <n v="1840"/>
        <n v="1841"/>
        <n v="1845"/>
        <n v="1847"/>
        <n v="1848"/>
        <n v="1850"/>
        <n v="1852"/>
        <n v="1856"/>
        <n v="1861"/>
        <n v="1867"/>
        <n v="1869"/>
        <n v="1880"/>
        <n v="1882"/>
        <n v="1883"/>
        <n v="1884"/>
        <n v="1885"/>
        <n v="1888"/>
        <n v="1901"/>
        <n v="1902"/>
        <n v="1903"/>
        <n v="1908"/>
        <n v="1911"/>
        <n v="1912"/>
        <n v="1953"/>
        <n v="1966"/>
        <n v="1969"/>
        <n v="1972"/>
        <n v="1974"/>
        <n v="1976"/>
        <n v="1977"/>
        <n v="1978"/>
        <n v="1982"/>
        <n v="2004"/>
        <n v="2006"/>
        <n v="2243"/>
        <n v="2244"/>
        <m/>
      </sharedItems>
    </cacheField>
    <cacheField name="PATIENTS_ATTEMPTED" uniqueList="1" numFmtId="0" sqlType="0" hierarchy="0" level="0" databaseField="1">
      <sharedItems count="245" containsBlank="1" containsInteger="1" containsNumber="1" containsString="0" minValue="0" maxValue="28365">
        <n v="0"/>
        <n v="1"/>
        <n v="2"/>
        <n v="3"/>
        <n v="4"/>
        <n v="5"/>
        <n v="7"/>
        <n v="8"/>
        <n v="10"/>
        <n v="11"/>
        <n v="12"/>
        <n v="13"/>
        <n v="14"/>
        <n v="15"/>
        <n v="20"/>
        <n v="22"/>
        <n v="23"/>
        <n v="28"/>
        <n v="33"/>
        <n v="35"/>
        <n v="40"/>
        <n v="41"/>
        <n v="42"/>
        <n v="46"/>
        <n v="49"/>
        <n v="50"/>
        <n v="69"/>
        <n v="70"/>
        <n v="77"/>
        <n v="78"/>
        <n v="81"/>
        <n v="82"/>
        <n v="83"/>
        <n v="99"/>
        <n v="101"/>
        <n v="102"/>
        <n v="106"/>
        <n v="108"/>
        <n v="118"/>
        <n v="120"/>
        <n v="121"/>
        <n v="122"/>
        <n v="140"/>
        <n v="146"/>
        <n v="175"/>
        <n v="190"/>
        <n v="196"/>
        <n v="199"/>
        <n v="220"/>
        <n v="230"/>
        <n v="232"/>
        <n v="242"/>
        <n v="260"/>
        <n v="265"/>
        <n v="294"/>
        <n v="301"/>
        <n v="307"/>
        <n v="311"/>
        <n v="321"/>
        <n v="327"/>
        <n v="340"/>
        <n v="344"/>
        <n v="354"/>
        <n v="369"/>
        <n v="390"/>
        <n v="391"/>
        <n v="412"/>
        <n v="413"/>
        <n v="439"/>
        <n v="443"/>
        <n v="486"/>
        <n v="492"/>
        <n v="497"/>
        <n v="507"/>
        <n v="537"/>
        <n v="547"/>
        <n v="548"/>
        <n v="581"/>
        <n v="596"/>
        <n v="626"/>
        <n v="661"/>
        <n v="667"/>
        <n v="690"/>
        <n v="711"/>
        <n v="712"/>
        <n v="715"/>
        <n v="753"/>
        <n v="781"/>
        <n v="784"/>
        <n v="819"/>
        <n v="836"/>
        <n v="863"/>
        <n v="872"/>
        <n v="910"/>
        <n v="931"/>
        <n v="933"/>
        <n v="991"/>
        <n v="992"/>
        <n v="997"/>
        <n v="1015"/>
        <n v="1030"/>
        <n v="1036"/>
        <n v="1058"/>
        <n v="1067"/>
        <n v="1127"/>
        <n v="1130"/>
        <n v="1134"/>
        <n v="1141"/>
        <n v="1186"/>
        <n v="1188"/>
        <n v="1247"/>
        <n v="1256"/>
        <n v="1284"/>
        <n v="1361"/>
        <n v="1375"/>
        <n v="1409"/>
        <n v="1436"/>
        <n v="1440"/>
        <n v="1451"/>
        <n v="1478"/>
        <n v="1482"/>
        <n v="1582"/>
        <n v="1628"/>
        <n v="1655"/>
        <n v="1700"/>
        <n v="1752"/>
        <n v="1796"/>
        <n v="1891"/>
        <n v="1918"/>
        <n v="1928"/>
        <n v="1954"/>
        <n v="1965"/>
        <n v="1970"/>
        <n v="1988"/>
        <n v="2011"/>
        <n v="2019"/>
        <n v="2055"/>
        <n v="2084"/>
        <n v="2097"/>
        <n v="2099"/>
        <n v="2151"/>
        <n v="2171"/>
        <n v="2177"/>
        <n v="2253"/>
        <n v="2264"/>
        <n v="2277"/>
        <n v="2281"/>
        <n v="2342"/>
        <n v="2382"/>
        <n v="2730"/>
        <n v="2858"/>
        <n v="2998"/>
        <n v="3129"/>
        <n v="3220"/>
        <n v="3406"/>
        <n v="3621"/>
        <n v="3639"/>
        <n v="3699"/>
        <n v="3717"/>
        <n v="3970"/>
        <n v="4006"/>
        <n v="4032"/>
        <n v="4233"/>
        <n v="4308"/>
        <n v="4309"/>
        <n v="4546"/>
        <n v="4756"/>
        <n v="4797"/>
        <n v="4855"/>
        <n v="4874"/>
        <n v="5050"/>
        <n v="5564"/>
        <n v="5577"/>
        <n v="5677"/>
        <n v="5743"/>
        <n v="5882"/>
        <n v="5906"/>
        <n v="5923"/>
        <n v="6160"/>
        <n v="6340"/>
        <n v="6419"/>
        <n v="6447"/>
        <n v="6679"/>
        <n v="6876"/>
        <n v="7388"/>
        <n v="7399"/>
        <n v="7443"/>
        <n v="7466"/>
        <n v="7477"/>
        <n v="7542"/>
        <n v="7565"/>
        <n v="7685"/>
        <n v="7985"/>
        <n v="9135"/>
        <n v="9150"/>
        <n v="9220"/>
        <n v="9398"/>
        <n v="9401"/>
        <n v="9943"/>
        <n v="9985"/>
        <n v="10142"/>
        <n v="10207"/>
        <n v="10316"/>
        <n v="10322"/>
        <n v="10378"/>
        <n v="10716"/>
        <n v="10791"/>
        <n v="10814"/>
        <n v="11168"/>
        <n v="11202"/>
        <n v="11462"/>
        <n v="11492"/>
        <n v="11691"/>
        <n v="11742"/>
        <n v="11832"/>
        <n v="11850"/>
        <n v="12022"/>
        <n v="12045"/>
        <n v="12122"/>
        <n v="12505"/>
        <n v="12584"/>
        <n v="12586"/>
        <n v="12627"/>
        <n v="13104"/>
        <n v="13193"/>
        <n v="13637"/>
        <n v="14698"/>
        <n v="15362"/>
        <n v="16189"/>
        <n v="16759"/>
        <n v="17533"/>
        <n v="17597"/>
        <n v="19121"/>
        <n v="19355"/>
        <n v="20738"/>
        <n v="20740"/>
        <n v="20755"/>
        <n v="26880"/>
        <n v="26881"/>
        <n v="26882"/>
        <n v="26917"/>
        <n v="28337"/>
        <n v="28338"/>
        <n v="28365"/>
        <m/>
      </sharedItems>
    </cacheField>
    <cacheField name="PATIENTS_COMPLETED" uniqueList="1" numFmtId="0" sqlType="0" hierarchy="0" level="0" databaseField="1">
      <sharedItems count="243" containsBlank="1" containsInteger="1" containsNumber="1" containsString="0" minValue="0" maxValue="25293">
        <n v="0"/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20"/>
        <n v="21"/>
        <n v="22"/>
        <n v="28"/>
        <n v="33"/>
        <n v="34"/>
        <n v="37"/>
        <n v="40"/>
        <n v="41"/>
        <n v="46"/>
        <n v="49"/>
        <n v="52"/>
        <n v="63"/>
        <n v="64"/>
        <n v="66"/>
        <n v="69"/>
        <n v="73"/>
        <n v="78"/>
        <n v="84"/>
        <n v="85"/>
        <n v="87"/>
        <n v="106"/>
        <n v="108"/>
        <n v="112"/>
        <n v="115"/>
        <n v="118"/>
        <n v="129"/>
        <n v="133"/>
        <n v="158"/>
        <n v="168"/>
        <n v="178"/>
        <n v="190"/>
        <n v="194"/>
        <n v="195"/>
        <n v="212"/>
        <n v="218"/>
        <n v="235"/>
        <n v="239"/>
        <n v="242"/>
        <n v="245"/>
        <n v="285"/>
        <n v="288"/>
        <n v="296"/>
        <n v="297"/>
        <n v="308"/>
        <n v="323"/>
        <n v="338"/>
        <n v="340"/>
        <n v="348"/>
        <n v="352"/>
        <n v="376"/>
        <n v="383"/>
        <n v="386"/>
        <n v="395"/>
        <n v="406"/>
        <n v="451"/>
        <n v="456"/>
        <n v="476"/>
        <n v="482"/>
        <n v="497"/>
        <n v="534"/>
        <n v="540"/>
        <n v="551"/>
        <n v="581"/>
        <n v="586"/>
        <n v="618"/>
        <n v="621"/>
        <n v="636"/>
        <n v="638"/>
        <n v="662"/>
        <n v="686"/>
        <n v="707"/>
        <n v="755"/>
        <n v="763"/>
        <n v="768"/>
        <n v="833"/>
        <n v="847"/>
        <n v="848"/>
        <n v="866"/>
        <n v="880"/>
        <n v="949"/>
        <n v="951"/>
        <n v="952"/>
        <n v="967"/>
        <n v="974"/>
        <n v="975"/>
        <n v="977"/>
        <n v="981"/>
        <n v="987"/>
        <n v="1001"/>
        <n v="1002"/>
        <n v="1017"/>
        <n v="1064"/>
        <n v="1084"/>
        <n v="1113"/>
        <n v="1197"/>
        <n v="1199"/>
        <n v="1206"/>
        <n v="1207"/>
        <n v="1228"/>
        <n v="1238"/>
        <n v="1246"/>
        <n v="1314"/>
        <n v="1376"/>
        <n v="1414"/>
        <n v="1417"/>
        <n v="1425"/>
        <n v="1449"/>
        <n v="1501"/>
        <n v="1544"/>
        <n v="1593"/>
        <n v="1611"/>
        <n v="1625"/>
        <n v="1668"/>
        <n v="1690"/>
        <n v="1691"/>
        <n v="1777"/>
        <n v="1804"/>
        <n v="1832"/>
        <n v="1833"/>
        <n v="1859"/>
        <n v="1890"/>
        <n v="1917"/>
        <n v="1919"/>
        <n v="1928"/>
        <n v="1929"/>
        <n v="1960"/>
        <n v="1994"/>
        <n v="2000"/>
        <n v="2044"/>
        <n v="2094"/>
        <n v="2107"/>
        <n v="2163"/>
        <n v="2299"/>
        <n v="2418"/>
        <n v="2526"/>
        <n v="2603"/>
        <n v="2937"/>
        <n v="3035"/>
        <n v="3087"/>
        <n v="3194"/>
        <n v="3215"/>
        <n v="3487"/>
        <n v="3532"/>
        <n v="3534"/>
        <n v="3556"/>
        <n v="3602"/>
        <n v="3788"/>
        <n v="3791"/>
        <n v="4007"/>
        <n v="4089"/>
        <n v="4143"/>
        <n v="4167"/>
        <n v="4197"/>
        <n v="4322"/>
        <n v="4493"/>
        <n v="5002"/>
        <n v="5014"/>
        <n v="5044"/>
        <n v="5256"/>
        <n v="5354"/>
        <n v="5378"/>
        <n v="5491"/>
        <n v="5553"/>
        <n v="5656"/>
        <n v="5792"/>
        <n v="6068"/>
        <n v="6111"/>
        <n v="6475"/>
        <n v="6476"/>
        <n v="6552"/>
        <n v="6637"/>
        <n v="6667"/>
        <n v="6894"/>
        <n v="7057"/>
        <n v="7074"/>
        <n v="7241"/>
        <n v="7886"/>
        <n v="7960"/>
        <n v="8289"/>
        <n v="8314"/>
        <n v="8748"/>
        <n v="8820"/>
        <n v="8872"/>
        <n v="8948"/>
        <n v="9067"/>
        <n v="9227"/>
        <n v="9348"/>
        <n v="9630"/>
        <n v="9637"/>
        <n v="9743"/>
        <n v="9757"/>
        <n v="9786"/>
        <n v="10098"/>
        <n v="10140"/>
        <n v="10577"/>
        <n v="10667"/>
        <n v="10701"/>
        <n v="10743"/>
        <n v="10849"/>
        <n v="10869"/>
        <n v="10957"/>
        <n v="11020"/>
        <n v="11362"/>
        <n v="11700"/>
        <n v="11718"/>
        <n v="11774"/>
        <n v="12084"/>
        <n v="12646"/>
        <n v="12677"/>
        <n v="13111"/>
        <n v="13739"/>
        <n v="13756"/>
        <n v="14861"/>
        <n v="15251"/>
        <n v="15887"/>
        <n v="16447"/>
        <n v="17339"/>
        <n v="20121"/>
        <n v="20123"/>
        <n v="20137"/>
        <n v="22428"/>
        <n v="22429"/>
        <n v="22460"/>
        <n v="25270"/>
        <n v="25271"/>
        <n v="25293"/>
        <m/>
      </sharedItems>
    </cacheField>
    <cacheField name="PATIENTS_RETESTED" uniqueList="1" numFmtId="0" sqlType="0" hierarchy="0" level="0" databaseField="1">
      <sharedItems count="172" containsBlank="1" containsInteger="1" containsNumber="1" containsString="0" minValue="0" maxValue="332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8"/>
        <n v="19"/>
        <n v="20"/>
        <n v="22"/>
        <n v="23"/>
        <n v="24"/>
        <n v="25"/>
        <n v="26"/>
        <n v="28"/>
        <n v="29"/>
        <n v="30"/>
        <n v="32"/>
        <n v="33"/>
        <n v="35"/>
        <n v="36"/>
        <n v="37"/>
        <n v="38"/>
        <n v="39"/>
        <n v="40"/>
        <n v="41"/>
        <n v="43"/>
        <n v="45"/>
        <n v="46"/>
        <n v="49"/>
        <n v="51"/>
        <n v="53"/>
        <n v="54"/>
        <n v="57"/>
        <n v="58"/>
        <n v="59"/>
        <n v="61"/>
        <n v="62"/>
        <n v="67"/>
        <n v="68"/>
        <n v="69"/>
        <n v="73"/>
        <n v="86"/>
        <n v="87"/>
        <n v="89"/>
        <n v="94"/>
        <n v="98"/>
        <n v="100"/>
        <n v="103"/>
        <n v="104"/>
        <n v="105"/>
        <n v="121"/>
        <n v="123"/>
        <n v="129"/>
        <n v="132"/>
        <n v="137"/>
        <n v="143"/>
        <n v="153"/>
        <n v="155"/>
        <n v="157"/>
        <n v="161"/>
        <n v="163"/>
        <n v="178"/>
        <n v="184"/>
        <n v="194"/>
        <n v="197"/>
        <n v="200"/>
        <n v="207"/>
        <n v="209"/>
        <n v="216"/>
        <n v="220"/>
        <n v="221"/>
        <n v="226"/>
        <n v="228"/>
        <n v="233"/>
        <n v="237"/>
        <n v="238"/>
        <n v="239"/>
        <n v="244"/>
        <n v="258"/>
        <n v="260"/>
        <n v="262"/>
        <n v="268"/>
        <n v="279"/>
        <n v="280"/>
        <n v="282"/>
        <n v="306"/>
        <n v="313"/>
        <n v="320"/>
        <n v="323"/>
        <n v="325"/>
        <n v="332"/>
        <n v="338"/>
        <n v="351"/>
        <n v="362"/>
        <n v="369"/>
        <n v="370"/>
        <n v="374"/>
        <n v="386"/>
        <n v="390"/>
        <n v="398"/>
        <n v="399"/>
        <n v="414"/>
        <n v="431"/>
        <n v="441"/>
        <n v="447"/>
        <n v="464"/>
        <n v="465"/>
        <n v="466"/>
        <n v="475"/>
        <n v="506"/>
        <n v="527"/>
        <n v="529"/>
        <n v="534"/>
        <n v="537"/>
        <n v="564"/>
        <n v="597"/>
        <n v="649"/>
        <n v="680"/>
        <n v="690"/>
        <n v="695"/>
        <n v="771"/>
        <n v="778"/>
        <n v="784"/>
        <n v="795"/>
        <n v="797"/>
        <n v="802"/>
        <n v="804"/>
        <n v="810"/>
        <n v="819"/>
        <n v="833"/>
        <n v="835"/>
        <n v="841"/>
        <n v="899"/>
        <n v="986"/>
        <n v="987"/>
        <n v="1001"/>
        <n v="1078"/>
        <n v="1091"/>
        <n v="1134"/>
        <n v="1177"/>
        <n v="1191"/>
        <n v="1215"/>
        <n v="1291"/>
        <n v="1307"/>
        <n v="1412"/>
        <n v="1422"/>
        <n v="1466"/>
        <n v="1577"/>
        <n v="1620"/>
        <n v="1641"/>
        <n v="1872"/>
        <n v="1947"/>
        <n v="2247"/>
        <n v="2503"/>
        <n v="2504"/>
        <n v="2513"/>
        <n v="3321"/>
        <n v="3322"/>
        <n v="3326"/>
        <m/>
      </sharedItems>
    </cacheField>
    <cacheField name="PATIENTS_DILUTED" uniqueList="1" numFmtId="0" sqlType="0" hierarchy="0" level="0" databaseField="1">
      <sharedItems count="54" containsBlank="1" containsInteger="1" containsNumber="1" containsString="0" minValue="0" maxValue="822">
        <n v="0"/>
        <n v="1"/>
        <n v="2"/>
        <n v="3"/>
        <n v="4"/>
        <n v="5"/>
        <n v="6"/>
        <n v="7"/>
        <n v="8"/>
        <n v="10"/>
        <n v="11"/>
        <n v="12"/>
        <n v="13"/>
        <n v="14"/>
        <n v="15"/>
        <n v="16"/>
        <n v="17"/>
        <n v="18"/>
        <n v="19"/>
        <n v="21"/>
        <n v="22"/>
        <n v="24"/>
        <n v="27"/>
        <n v="28"/>
        <n v="29"/>
        <n v="30"/>
        <n v="34"/>
        <n v="35"/>
        <n v="36"/>
        <n v="37"/>
        <n v="39"/>
        <n v="49"/>
        <n v="50"/>
        <n v="59"/>
        <n v="67"/>
        <n v="70"/>
        <n v="71"/>
        <n v="72"/>
        <n v="73"/>
        <n v="79"/>
        <n v="84"/>
        <n v="96"/>
        <n v="100"/>
        <n v="101"/>
        <n v="109"/>
        <n v="110"/>
        <n v="125"/>
        <n v="147"/>
        <n v="155"/>
        <n v="205"/>
        <n v="283"/>
        <n v="723"/>
        <n v="822"/>
        <m/>
      </sharedItems>
    </cacheField>
    <cacheField name="CALIBRATORS_ATTEMPTED" uniqueList="1" numFmtId="0" sqlType="0" hierarchy="0" level="0" databaseField="1">
      <sharedItems count="70" containsBlank="1" containsInteger="1" containsNumber="1" containsString="0" minValue="0" maxValue="750">
        <n v="0"/>
        <n v="3"/>
        <n v="4"/>
        <n v="6"/>
        <n v="8"/>
        <n v="9"/>
        <n v="10"/>
        <n v="12"/>
        <n v="15"/>
        <n v="16"/>
        <n v="18"/>
        <n v="20"/>
        <n v="24"/>
        <n v="30"/>
        <n v="32"/>
        <n v="33"/>
        <n v="36"/>
        <n v="40"/>
        <n v="44"/>
        <n v="45"/>
        <n v="48"/>
        <n v="50"/>
        <n v="54"/>
        <n v="56"/>
        <n v="58"/>
        <n v="60"/>
        <n v="64"/>
        <n v="66"/>
        <n v="70"/>
        <n v="72"/>
        <n v="80"/>
        <n v="84"/>
        <n v="90"/>
        <n v="96"/>
        <n v="99"/>
        <n v="100"/>
        <n v="102"/>
        <n v="105"/>
        <n v="108"/>
        <n v="110"/>
        <n v="112"/>
        <n v="117"/>
        <n v="120"/>
        <n v="126"/>
        <n v="132"/>
        <n v="138"/>
        <n v="144"/>
        <n v="150"/>
        <n v="156"/>
        <n v="160"/>
        <n v="192"/>
        <n v="198"/>
        <n v="204"/>
        <n v="228"/>
        <n v="234"/>
        <n v="238"/>
        <n v="240"/>
        <n v="276"/>
        <n v="378"/>
        <n v="390"/>
        <n v="546"/>
        <n v="576"/>
        <n v="606"/>
        <n v="696"/>
        <n v="702"/>
        <n v="714"/>
        <n v="720"/>
        <n v="738"/>
        <n v="750"/>
        <m/>
      </sharedItems>
    </cacheField>
    <cacheField name="CONTROLS_ATTEMPTED" uniqueList="1" numFmtId="0" sqlType="0" hierarchy="0" level="0" databaseField="1">
      <sharedItems count="168" containsBlank="1" containsInteger="1" containsNumber="1" containsString="0" minValue="0" maxValue="434">
        <n v="0"/>
        <n v="2"/>
        <n v="3"/>
        <n v="4"/>
        <n v="6"/>
        <n v="17"/>
        <n v="19"/>
        <n v="22"/>
        <n v="30"/>
        <n v="44"/>
        <n v="62"/>
        <n v="71"/>
        <n v="84"/>
        <n v="85"/>
        <n v="99"/>
        <n v="114"/>
        <n v="122"/>
        <n v="123"/>
        <n v="128"/>
        <n v="138"/>
        <n v="143"/>
        <n v="146"/>
        <n v="150"/>
        <n v="156"/>
        <n v="157"/>
        <n v="162"/>
        <n v="166"/>
        <n v="167"/>
        <n v="172"/>
        <n v="173"/>
        <n v="175"/>
        <n v="179"/>
        <n v="181"/>
        <n v="182"/>
        <n v="184"/>
        <n v="185"/>
        <n v="186"/>
        <n v="188"/>
        <n v="189"/>
        <n v="190"/>
        <n v="192"/>
        <n v="193"/>
        <n v="194"/>
        <n v="196"/>
        <n v="197"/>
        <n v="198"/>
        <n v="200"/>
        <n v="201"/>
        <n v="202"/>
        <n v="203"/>
        <n v="204"/>
        <n v="205"/>
        <n v="206"/>
        <n v="207"/>
        <n v="210"/>
        <n v="211"/>
        <n v="212"/>
        <n v="214"/>
        <n v="216"/>
        <n v="218"/>
        <n v="219"/>
        <n v="220"/>
        <n v="221"/>
        <n v="222"/>
        <n v="223"/>
        <n v="224"/>
        <n v="226"/>
        <n v="227"/>
        <n v="229"/>
        <n v="230"/>
        <n v="231"/>
        <n v="232"/>
        <n v="233"/>
        <n v="234"/>
        <n v="236"/>
        <n v="237"/>
        <n v="238"/>
        <n v="239"/>
        <n v="240"/>
        <n v="241"/>
        <n v="242"/>
        <n v="243"/>
        <n v="245"/>
        <n v="246"/>
        <n v="247"/>
        <n v="249"/>
        <n v="250"/>
        <n v="252"/>
        <n v="253"/>
        <n v="254"/>
        <n v="256"/>
        <n v="258"/>
        <n v="259"/>
        <n v="260"/>
        <n v="261"/>
        <n v="262"/>
        <n v="263"/>
        <n v="264"/>
        <n v="265"/>
        <n v="267"/>
        <n v="268"/>
        <n v="269"/>
        <n v="270"/>
        <n v="274"/>
        <n v="275"/>
        <n v="276"/>
        <n v="277"/>
        <n v="280"/>
        <n v="281"/>
        <n v="282"/>
        <n v="289"/>
        <n v="290"/>
        <n v="291"/>
        <n v="292"/>
        <n v="293"/>
        <n v="295"/>
        <n v="296"/>
        <n v="297"/>
        <n v="299"/>
        <n v="300"/>
        <n v="301"/>
        <n v="302"/>
        <n v="304"/>
        <n v="305"/>
        <n v="306"/>
        <n v="307"/>
        <n v="308"/>
        <n v="309"/>
        <n v="310"/>
        <n v="312"/>
        <n v="313"/>
        <n v="314"/>
        <n v="315"/>
        <n v="317"/>
        <n v="319"/>
        <n v="321"/>
        <n v="322"/>
        <n v="325"/>
        <n v="326"/>
        <n v="327"/>
        <n v="328"/>
        <n v="329"/>
        <n v="331"/>
        <n v="339"/>
        <n v="340"/>
        <n v="343"/>
        <n v="344"/>
        <n v="348"/>
        <n v="350"/>
        <n v="353"/>
        <n v="355"/>
        <n v="356"/>
        <n v="360"/>
        <n v="362"/>
        <n v="363"/>
        <n v="364"/>
        <n v="366"/>
        <n v="367"/>
        <n v="371"/>
        <n v="372"/>
        <n v="373"/>
        <n v="381"/>
        <n v="388"/>
        <n v="390"/>
        <n v="419"/>
        <n v="422"/>
        <n v="434"/>
        <m/>
      </sharedItems>
    </cacheField>
    <cacheField name="CONTROLS_COMPLETED" uniqueList="1" numFmtId="0" sqlType="0" hierarchy="0" level="0" databaseField="1">
      <sharedItems count="147" containsBlank="1" containsInteger="1" containsNumber="1" containsString="0" minValue="0" maxValue="390">
        <n v="0"/>
        <n v="2"/>
        <n v="3"/>
        <n v="4"/>
        <n v="6"/>
        <n v="17"/>
        <n v="18"/>
        <n v="20"/>
        <n v="21"/>
        <n v="30"/>
        <n v="44"/>
        <n v="58"/>
        <n v="64"/>
        <n v="69"/>
        <n v="79"/>
        <n v="83"/>
        <n v="89"/>
        <n v="112"/>
        <n v="116"/>
        <n v="126"/>
        <n v="138"/>
        <n v="143"/>
        <n v="144"/>
        <n v="149"/>
        <n v="152"/>
        <n v="159"/>
        <n v="164"/>
        <n v="167"/>
        <n v="169"/>
        <n v="170"/>
        <n v="171"/>
        <n v="173"/>
        <n v="175"/>
        <n v="176"/>
        <n v="177"/>
        <n v="178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7"/>
        <n v="208"/>
        <n v="209"/>
        <n v="210"/>
        <n v="211"/>
        <n v="212"/>
        <n v="213"/>
        <n v="214"/>
        <n v="215"/>
        <n v="216"/>
        <n v="219"/>
        <n v="220"/>
        <n v="221"/>
        <n v="222"/>
        <n v="223"/>
        <n v="224"/>
        <n v="225"/>
        <n v="227"/>
        <n v="228"/>
        <n v="229"/>
        <n v="230"/>
        <n v="233"/>
        <n v="234"/>
        <n v="237"/>
        <n v="238"/>
        <n v="239"/>
        <n v="240"/>
        <n v="242"/>
        <n v="243"/>
        <n v="244"/>
        <n v="245"/>
        <n v="246"/>
        <n v="247"/>
        <n v="248"/>
        <n v="250"/>
        <n v="251"/>
        <n v="252"/>
        <n v="255"/>
        <n v="257"/>
        <n v="258"/>
        <n v="260"/>
        <n v="261"/>
        <n v="262"/>
        <n v="264"/>
        <n v="265"/>
        <n v="266"/>
        <n v="267"/>
        <n v="270"/>
        <n v="273"/>
        <n v="274"/>
        <n v="275"/>
        <n v="277"/>
        <n v="281"/>
        <n v="282"/>
        <n v="283"/>
        <n v="284"/>
        <n v="285"/>
        <n v="287"/>
        <n v="291"/>
        <n v="294"/>
        <n v="295"/>
        <n v="297"/>
        <n v="299"/>
        <n v="300"/>
        <n v="302"/>
        <n v="306"/>
        <n v="311"/>
        <n v="313"/>
        <n v="316"/>
        <n v="318"/>
        <n v="321"/>
        <n v="325"/>
        <n v="329"/>
        <n v="330"/>
        <n v="337"/>
        <n v="342"/>
        <n v="343"/>
        <n v="352"/>
        <n v="355"/>
        <n v="357"/>
        <n v="361"/>
        <n v="362"/>
        <n v="363"/>
        <n v="385"/>
        <n v="390"/>
        <m/>
      </sharedItems>
    </cacheField>
    <cacheField name="TOTAL_ATTEMPTED" uniqueList="1" numFmtId="0" sqlType="0" hierarchy="0" level="0" databaseField="1">
      <sharedItems count="276" containsBlank="1" containsInteger="1" containsNumber="1" containsString="0" minValue="3" maxValue="28365">
        <n v="3"/>
        <n v="4"/>
        <n v="6"/>
        <n v="9"/>
        <n v="11"/>
        <n v="12"/>
        <n v="13"/>
        <n v="14"/>
        <n v="15"/>
        <n v="16"/>
        <n v="17"/>
        <n v="22"/>
        <n v="23"/>
        <n v="24"/>
        <n v="25"/>
        <n v="31"/>
        <n v="37"/>
        <n v="43"/>
        <n v="51"/>
        <n v="55"/>
        <n v="57"/>
        <n v="99"/>
        <n v="100"/>
        <n v="143"/>
        <n v="156"/>
        <n v="165"/>
        <n v="176"/>
        <n v="194"/>
        <n v="195"/>
        <n v="213"/>
        <n v="219"/>
        <n v="220"/>
        <n v="221"/>
        <n v="228"/>
        <n v="230"/>
        <n v="233"/>
        <n v="234"/>
        <n v="236"/>
        <n v="240"/>
        <n v="250"/>
        <n v="252"/>
        <n v="254"/>
        <n v="258"/>
        <n v="261"/>
        <n v="264"/>
        <n v="282"/>
        <n v="290"/>
        <n v="300"/>
        <n v="306"/>
        <n v="310"/>
        <n v="314"/>
        <n v="316"/>
        <n v="335"/>
        <n v="356"/>
        <n v="374"/>
        <n v="392"/>
        <n v="394"/>
        <n v="395"/>
        <n v="400"/>
        <n v="406"/>
        <n v="409"/>
        <n v="419"/>
        <n v="423"/>
        <n v="426"/>
        <n v="434"/>
        <n v="440"/>
        <n v="443"/>
        <n v="447"/>
        <n v="455"/>
        <n v="479"/>
        <n v="482"/>
        <n v="484"/>
        <n v="490"/>
        <n v="491"/>
        <n v="495"/>
        <n v="512"/>
        <n v="541"/>
        <n v="549"/>
        <n v="587"/>
        <n v="594"/>
        <n v="614"/>
        <n v="632"/>
        <n v="645"/>
        <n v="653"/>
        <n v="662"/>
        <n v="666"/>
        <n v="687"/>
        <n v="705"/>
        <n v="716"/>
        <n v="726"/>
        <n v="730"/>
        <n v="734"/>
        <n v="769"/>
        <n v="801"/>
        <n v="806"/>
        <n v="824"/>
        <n v="864"/>
        <n v="867"/>
        <n v="871"/>
        <n v="878"/>
        <n v="897"/>
        <n v="898"/>
        <n v="899"/>
        <n v="924"/>
        <n v="941"/>
        <n v="944"/>
        <n v="960"/>
        <n v="961"/>
        <n v="967"/>
        <n v="969"/>
        <n v="977"/>
        <n v="981"/>
        <n v="988"/>
        <n v="993"/>
        <n v="1019"/>
        <n v="1042"/>
        <n v="1043"/>
        <n v="1071"/>
        <n v="1161"/>
        <n v="1176"/>
        <n v="1194"/>
        <n v="1196"/>
        <n v="1224"/>
        <n v="1232"/>
        <n v="1234"/>
        <n v="1236"/>
        <n v="1249"/>
        <n v="1253"/>
        <n v="1274"/>
        <n v="1325"/>
        <n v="1354"/>
        <n v="1367"/>
        <n v="1369"/>
        <n v="1402"/>
        <n v="1412"/>
        <n v="1431"/>
        <n v="1441"/>
        <n v="1475"/>
        <n v="1480"/>
        <n v="1517"/>
        <n v="1520"/>
        <n v="1521"/>
        <n v="1535"/>
        <n v="1545"/>
        <n v="1581"/>
        <n v="1596"/>
        <n v="1651"/>
        <n v="1653"/>
        <n v="1681"/>
        <n v="1699"/>
        <n v="1721"/>
        <n v="1764"/>
        <n v="1846"/>
        <n v="1981"/>
        <n v="2014"/>
        <n v="2037"/>
        <n v="2110"/>
        <n v="2191"/>
        <n v="2239"/>
        <n v="2240"/>
        <n v="2242"/>
        <n v="2280"/>
        <n v="2302"/>
        <n v="2305"/>
        <n v="2317"/>
        <n v="2330"/>
        <n v="2351"/>
        <n v="2357"/>
        <n v="2368"/>
        <n v="2416"/>
        <n v="2482"/>
        <n v="2504"/>
        <n v="2534"/>
        <n v="2544"/>
        <n v="2547"/>
        <n v="2558"/>
        <n v="2566"/>
        <n v="2627"/>
        <n v="2688"/>
        <n v="2925"/>
        <n v="2949"/>
        <n v="3127"/>
        <n v="3288"/>
        <n v="3396"/>
        <n v="3426"/>
        <n v="3686"/>
        <n v="3909"/>
        <n v="3943"/>
        <n v="3968"/>
        <n v="3986"/>
        <n v="4214"/>
        <n v="4327"/>
        <n v="4345"/>
        <n v="4494"/>
        <n v="4631"/>
        <n v="4662"/>
        <n v="4829"/>
        <n v="5061"/>
        <n v="5118"/>
        <n v="5184"/>
        <n v="5185"/>
        <n v="5376"/>
        <n v="6013"/>
        <n v="6085"/>
        <n v="6188"/>
        <n v="6281"/>
        <n v="6532"/>
        <n v="6536"/>
        <n v="6549"/>
        <n v="6615"/>
        <n v="6752"/>
        <n v="6766"/>
        <n v="6786"/>
        <n v="7576"/>
        <n v="7580"/>
        <n v="7770"/>
        <n v="7783"/>
        <n v="7849"/>
        <n v="7878"/>
        <n v="7883"/>
        <n v="7887"/>
        <n v="8020"/>
        <n v="8092"/>
        <n v="8344"/>
        <n v="9428"/>
        <n v="9576"/>
        <n v="9791"/>
        <n v="9826"/>
        <n v="9872"/>
        <n v="10206"/>
        <n v="10300"/>
        <n v="10461"/>
        <n v="10496"/>
        <n v="10596"/>
        <n v="10635"/>
        <n v="11138"/>
        <n v="11442"/>
        <n v="11735"/>
        <n v="11764"/>
        <n v="11766"/>
        <n v="11836"/>
        <n v="11854"/>
        <n v="12018"/>
        <n v="12036"/>
        <n v="12141"/>
        <n v="12202"/>
        <n v="12326"/>
        <n v="12330"/>
        <n v="12902"/>
        <n v="12919"/>
        <n v="12941"/>
        <n v="13002"/>
        <n v="13019"/>
        <n v="13119"/>
        <n v="13385"/>
        <n v="13716"/>
        <n v="14126"/>
        <n v="15101"/>
        <n v="15730"/>
        <n v="16635"/>
        <n v="17147"/>
        <n v="17851"/>
        <n v="17916"/>
        <n v="19672"/>
        <n v="19859"/>
        <n v="20738"/>
        <n v="20740"/>
        <n v="20755"/>
        <n v="26880"/>
        <n v="26881"/>
        <n v="26882"/>
        <n v="26917"/>
        <n v="28337"/>
        <n v="28338"/>
        <n v="28365"/>
        <m/>
      </sharedItems>
    </cacheField>
    <cacheField name="TOT/MM" uniqueList="1" numFmtId="0" sqlType="0" hierarchy="0" level="0" databaseField="1">
      <sharedItems count="276" containsBlank="1" containsNumber="1" containsString="0" minValue="1" maxValue="9455">
        <n v="1"/>
        <n v="1.33333333333333"/>
        <n v="2"/>
        <n v="3"/>
        <n v="3.66666666666667"/>
        <n v="4"/>
        <n v="4.33333333333333"/>
        <n v="4.66666666666667"/>
        <n v="5"/>
        <n v="5.33333333333333"/>
        <n v="5.66666666666667"/>
        <n v="7.33333333333333"/>
        <n v="7.66666666666667"/>
        <n v="8"/>
        <n v="8.33333333333333"/>
        <n v="10.3333333333333"/>
        <n v="12.3333333333333"/>
        <n v="14.3333333333333"/>
        <n v="17"/>
        <n v="18.3333333333333"/>
        <n v="19"/>
        <n v="33"/>
        <n v="33.3333333333333"/>
        <n v="47.6666666666667"/>
        <n v="52"/>
        <n v="55"/>
        <n v="58.6666666666667"/>
        <n v="64.6666666666667"/>
        <n v="65"/>
        <n v="71"/>
        <n v="73"/>
        <n v="73.3333333333333"/>
        <n v="73.6666666666667"/>
        <n v="76"/>
        <n v="76.6666666666667"/>
        <n v="77.6666666666667"/>
        <n v="78"/>
        <n v="78.6666666666667"/>
        <n v="80"/>
        <n v="83.3333333333333"/>
        <n v="84"/>
        <n v="84.6666666666667"/>
        <n v="86"/>
        <n v="87"/>
        <n v="88"/>
        <n v="94"/>
        <n v="96.6666666666667"/>
        <n v="100"/>
        <n v="102"/>
        <n v="103.333333333333"/>
        <n v="104.666666666667"/>
        <n v="105.333333333333"/>
        <n v="111.666666666667"/>
        <n v="118.666666666667"/>
        <n v="124.666666666667"/>
        <n v="130.666666666667"/>
        <n v="131.333333333333"/>
        <n v="131.666666666667"/>
        <n v="133.333333333333"/>
        <n v="135.333333333333"/>
        <n v="136.333333333333"/>
        <n v="139.666666666667"/>
        <n v="141"/>
        <n v="142"/>
        <n v="144.666666666667"/>
        <n v="146.666666666667"/>
        <n v="147.666666666667"/>
        <n v="149"/>
        <n v="151.666666666667"/>
        <n v="159.666666666667"/>
        <n v="160.666666666667"/>
        <n v="161.333333333333"/>
        <n v="163.333333333333"/>
        <n v="163.666666666667"/>
        <n v="165"/>
        <n v="170.666666666667"/>
        <n v="180.333333333333"/>
        <n v="183"/>
        <n v="195.666666666667"/>
        <n v="198"/>
        <n v="204.666666666667"/>
        <n v="210.666666666667"/>
        <n v="215"/>
        <n v="217.666666666667"/>
        <n v="220.666666666667"/>
        <n v="222"/>
        <n v="229"/>
        <n v="235"/>
        <n v="238.666666666667"/>
        <n v="242"/>
        <n v="243.333333333333"/>
        <n v="244.666666666667"/>
        <n v="256.333333333333"/>
        <n v="267"/>
        <n v="268.666666666667"/>
        <n v="274.666666666667"/>
        <n v="288"/>
        <n v="289"/>
        <n v="290.333333333333"/>
        <n v="292.666666666667"/>
        <n v="299"/>
        <n v="299.333333333333"/>
        <n v="299.666666666667"/>
        <n v="308"/>
        <n v="313.666666666667"/>
        <n v="314.666666666667"/>
        <n v="320"/>
        <n v="320.333333333333"/>
        <n v="322.333333333333"/>
        <n v="323"/>
        <n v="325.666666666667"/>
        <n v="327"/>
        <n v="329.333333333333"/>
        <n v="331"/>
        <n v="339.666666666667"/>
        <n v="347.333333333333"/>
        <n v="347.666666666667"/>
        <n v="357"/>
        <n v="387"/>
        <n v="392"/>
        <n v="398"/>
        <n v="398.666666666667"/>
        <n v="408"/>
        <n v="410.666666666667"/>
        <n v="411.333333333333"/>
        <n v="412"/>
        <n v="416.333333333333"/>
        <n v="417.666666666667"/>
        <n v="424.666666666667"/>
        <n v="441.666666666667"/>
        <n v="451.333333333333"/>
        <n v="455.666666666667"/>
        <n v="456.333333333333"/>
        <n v="467.333333333333"/>
        <n v="470.666666666667"/>
        <n v="477"/>
        <n v="480.333333333333"/>
        <n v="491.666666666667"/>
        <n v="493.333333333333"/>
        <n v="505.666666666667"/>
        <n v="506.666666666667"/>
        <n v="507"/>
        <n v="511.666666666667"/>
        <n v="515"/>
        <n v="527"/>
        <n v="532"/>
        <n v="550.333333333333"/>
        <n v="551"/>
        <n v="560.333333333333"/>
        <n v="566.333333333333"/>
        <n v="573.666666666667"/>
        <n v="588"/>
        <n v="615.333333333333"/>
        <n v="660.333333333333"/>
        <n v="671.333333333333"/>
        <n v="679"/>
        <n v="703.333333333333"/>
        <n v="730.333333333333"/>
        <n v="746.333333333333"/>
        <n v="746.666666666667"/>
        <n v="747.333333333333"/>
        <n v="760"/>
        <n v="767.333333333333"/>
        <n v="768.333333333333"/>
        <n v="772.333333333333"/>
        <n v="776.666666666667"/>
        <n v="783.666666666667"/>
        <n v="785.666666666667"/>
        <n v="789.333333333333"/>
        <n v="805.333333333333"/>
        <n v="827.333333333333"/>
        <n v="834.666666666667"/>
        <n v="844.666666666667"/>
        <n v="848"/>
        <n v="849"/>
        <n v="852.666666666667"/>
        <n v="855.333333333333"/>
        <n v="875.666666666667"/>
        <n v="896"/>
        <n v="975"/>
        <n v="983"/>
        <n v="1042.33333333333"/>
        <n v="1096"/>
        <n v="1132"/>
        <n v="1142"/>
        <n v="1228.66666666667"/>
        <n v="1303"/>
        <n v="1314.33333333333"/>
        <n v="1322.66666666667"/>
        <n v="1328.66666666667"/>
        <n v="1404.66666666667"/>
        <n v="1442.33333333333"/>
        <n v="1448.33333333333"/>
        <n v="1498"/>
        <n v="1543.66666666667"/>
        <n v="1554"/>
        <n v="1609.66666666667"/>
        <n v="1687"/>
        <n v="1706"/>
        <n v="1728"/>
        <n v="1728.33333333333"/>
        <n v="1792"/>
        <n v="2004.33333333333"/>
        <n v="2028.33333333333"/>
        <n v="2062.66666666667"/>
        <n v="2093.66666666667"/>
        <n v="2177.33333333333"/>
        <n v="2178.66666666667"/>
        <n v="2183"/>
        <n v="2205"/>
        <n v="2250.66666666667"/>
        <n v="2255.33333333333"/>
        <n v="2262"/>
        <n v="2525.33333333333"/>
        <n v="2526.66666666667"/>
        <n v="2590"/>
        <n v="2594.33333333333"/>
        <n v="2616.33333333333"/>
        <n v="2626"/>
        <n v="2627.66666666667"/>
        <n v="2629"/>
        <n v="2673.33333333333"/>
        <n v="2697.33333333333"/>
        <n v="2781.33333333333"/>
        <n v="3142.66666666667"/>
        <n v="3192"/>
        <n v="3263.66666666667"/>
        <n v="3275.33333333333"/>
        <n v="3290.66666666667"/>
        <n v="3402"/>
        <n v="3433.33333333333"/>
        <n v="3487"/>
        <n v="3498.66666666667"/>
        <n v="3532"/>
        <n v="3545"/>
        <n v="3712.66666666667"/>
        <n v="3814"/>
        <n v="3911.66666666667"/>
        <n v="3921.33333333333"/>
        <n v="3922"/>
        <n v="3945.33333333333"/>
        <n v="3951.33333333333"/>
        <n v="4006"/>
        <n v="4012"/>
        <n v="4047"/>
        <n v="4067.33333333333"/>
        <n v="4108.66666666667"/>
        <n v="4110"/>
        <n v="4300.66666666667"/>
        <n v="4306.33333333333"/>
        <n v="4313.66666666667"/>
        <n v="4334"/>
        <n v="4339.66666666667"/>
        <n v="4373"/>
        <n v="4461.66666666667"/>
        <n v="4572"/>
        <n v="4708.66666666667"/>
        <n v="5033.66666666667"/>
        <n v="5243.33333333333"/>
        <n v="5545"/>
        <n v="5715.66666666667"/>
        <n v="5950.33333333333"/>
        <n v="5972"/>
        <n v="6557.33333333333"/>
        <n v="6619.66666666667"/>
        <n v="6912.66666666667"/>
        <n v="6913.33333333333"/>
        <n v="6918.33333333333"/>
        <n v="8960"/>
        <n v="8960.33333333333"/>
        <n v="8960.66666666667"/>
        <n v="8972.33333333333"/>
        <n v="9445.66666666667"/>
        <n v="9446"/>
        <n v="9455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90">
  <r>
    <x v="0"/>
    <x v="0"/>
    <x v="2"/>
    <x v="128"/>
    <x v="21"/>
    <x v="22"/>
    <x v="3"/>
    <x v="2"/>
    <x v="25"/>
    <x v="51"/>
    <x v="50"/>
    <x v="48"/>
    <x v="48"/>
  </r>
  <r>
    <x v="0"/>
    <x v="0"/>
    <x v="3"/>
    <x v="123"/>
    <x v="39"/>
    <x v="38"/>
    <x v="5"/>
    <x v="0"/>
    <x v="16"/>
    <x v="46"/>
    <x v="45"/>
    <x v="53"/>
    <x v="53"/>
  </r>
  <r>
    <x v="0"/>
    <x v="0"/>
    <x v="0"/>
    <x v="55"/>
    <x v="228"/>
    <x v="227"/>
    <x v="163"/>
    <x v="20"/>
    <x v="12"/>
    <x v="165"/>
    <x v="145"/>
    <x v="259"/>
    <x v="259"/>
  </r>
  <r>
    <x v="0"/>
    <x v="0"/>
    <x v="0"/>
    <x v="55"/>
    <x v="214"/>
    <x v="218"/>
    <x v="109"/>
    <x v="34"/>
    <x v="8"/>
    <x v="150"/>
    <x v="135"/>
    <x v="245"/>
    <x v="245"/>
  </r>
  <r>
    <x v="0"/>
    <x v="0"/>
    <x v="0"/>
    <x v="55"/>
    <x v="229"/>
    <x v="228"/>
    <x v="156"/>
    <x v="32"/>
    <x v="8"/>
    <x v="160"/>
    <x v="141"/>
    <x v="260"/>
    <x v="260"/>
  </r>
  <r>
    <x v="0"/>
    <x v="0"/>
    <x v="1"/>
    <x v="58"/>
    <x v="226"/>
    <x v="223"/>
    <x v="160"/>
    <x v="1"/>
    <x v="8"/>
    <x v="162"/>
    <x v="140"/>
    <x v="257"/>
    <x v="257"/>
  </r>
  <r>
    <x v="0"/>
    <x v="0"/>
    <x v="1"/>
    <x v="58"/>
    <x v="211"/>
    <x v="217"/>
    <x v="108"/>
    <x v="8"/>
    <x v="10"/>
    <x v="146"/>
    <x v="132"/>
    <x v="241"/>
    <x v="241"/>
  </r>
  <r>
    <x v="0"/>
    <x v="0"/>
    <x v="1"/>
    <x v="58"/>
    <x v="227"/>
    <x v="226"/>
    <x v="152"/>
    <x v="9"/>
    <x v="8"/>
    <x v="149"/>
    <x v="136"/>
    <x v="258"/>
    <x v="258"/>
  </r>
  <r>
    <x v="1"/>
    <x v="1"/>
    <x v="4"/>
    <x v="0"/>
    <x v="87"/>
    <x v="85"/>
    <x v="44"/>
    <x v="5"/>
    <x v="12"/>
    <x v="158"/>
    <x v="119"/>
    <x v="119"/>
    <x v="119"/>
  </r>
  <r>
    <x v="0"/>
    <x v="0"/>
    <x v="5"/>
    <x v="85"/>
    <x v="105"/>
    <x v="104"/>
    <x v="60"/>
    <x v="0"/>
    <x v="10"/>
    <x v="62"/>
    <x v="59"/>
    <x v="132"/>
    <x v="132"/>
  </r>
  <r>
    <x v="0"/>
    <x v="0"/>
    <x v="5"/>
    <x v="85"/>
    <x v="114"/>
    <x v="117"/>
    <x v="45"/>
    <x v="0"/>
    <x v="12"/>
    <x v="33"/>
    <x v="33"/>
    <x v="144"/>
    <x v="144"/>
  </r>
  <r>
    <x v="0"/>
    <x v="0"/>
    <x v="5"/>
    <x v="85"/>
    <x v="104"/>
    <x v="105"/>
    <x v="56"/>
    <x v="0"/>
    <x v="12"/>
    <x v="58"/>
    <x v="65"/>
    <x v="131"/>
    <x v="131"/>
  </r>
  <r>
    <x v="0"/>
    <x v="0"/>
    <x v="6"/>
    <x v="98"/>
    <x v="163"/>
    <x v="163"/>
    <x v="107"/>
    <x v="0"/>
    <x v="15"/>
    <x v="135"/>
    <x v="122"/>
    <x v="195"/>
    <x v="195"/>
  </r>
  <r>
    <x v="0"/>
    <x v="0"/>
    <x v="6"/>
    <x v="98"/>
    <x v="110"/>
    <x v="113"/>
    <x v="24"/>
    <x v="0"/>
    <x v="16"/>
    <x v="73"/>
    <x v="71"/>
    <x v="139"/>
    <x v="139"/>
  </r>
  <r>
    <x v="0"/>
    <x v="0"/>
    <x v="6"/>
    <x v="98"/>
    <x v="161"/>
    <x v="158"/>
    <x v="104"/>
    <x v="0"/>
    <x v="15"/>
    <x v="107"/>
    <x v="108"/>
    <x v="192"/>
    <x v="192"/>
  </r>
  <r>
    <x v="0"/>
    <x v="0"/>
    <x v="7"/>
    <x v="131"/>
    <x v="34"/>
    <x v="34"/>
    <x v="13"/>
    <x v="8"/>
    <x v="60"/>
    <x v="86"/>
    <x v="92"/>
    <x v="100"/>
    <x v="100"/>
  </r>
  <r>
    <x v="0"/>
    <x v="0"/>
    <x v="7"/>
    <x v="131"/>
    <x v="1"/>
    <x v="1"/>
    <x v="1"/>
    <x v="0"/>
    <x v="3"/>
    <x v="1"/>
    <x v="1"/>
    <x v="3"/>
    <x v="3"/>
  </r>
  <r>
    <x v="0"/>
    <x v="0"/>
    <x v="8"/>
    <x v="110"/>
    <x v="85"/>
    <x v="86"/>
    <x v="9"/>
    <x v="0"/>
    <x v="28"/>
    <x v="49"/>
    <x v="51"/>
    <x v="112"/>
    <x v="112"/>
  </r>
  <r>
    <x v="0"/>
    <x v="0"/>
    <x v="8"/>
    <x v="110"/>
    <x v="11"/>
    <x v="12"/>
    <x v="0"/>
    <x v="0"/>
    <x v="11"/>
    <x v="3"/>
    <x v="3"/>
    <x v="16"/>
    <x v="16"/>
  </r>
  <r>
    <x v="0"/>
    <x v="0"/>
    <x v="10"/>
    <x v="87"/>
    <x v="116"/>
    <x v="114"/>
    <x v="74"/>
    <x v="0"/>
    <x v="5"/>
    <x v="105"/>
    <x v="100"/>
    <x v="150"/>
    <x v="150"/>
  </r>
  <r>
    <x v="0"/>
    <x v="0"/>
    <x v="10"/>
    <x v="87"/>
    <x v="65"/>
    <x v="65"/>
    <x v="10"/>
    <x v="0"/>
    <x v="7"/>
    <x v="55"/>
    <x v="54"/>
    <x v="80"/>
    <x v="80"/>
  </r>
  <r>
    <x v="0"/>
    <x v="0"/>
    <x v="10"/>
    <x v="87"/>
    <x v="113"/>
    <x v="112"/>
    <x v="61"/>
    <x v="0"/>
    <x v="5"/>
    <x v="66"/>
    <x v="70"/>
    <x v="145"/>
    <x v="145"/>
  </r>
  <r>
    <x v="0"/>
    <x v="0"/>
    <x v="9"/>
    <x v="88"/>
    <x v="1"/>
    <x v="1"/>
    <x v="0"/>
    <x v="0"/>
    <x v="0"/>
    <x v="77"/>
    <x v="76"/>
    <x v="38"/>
    <x v="38"/>
  </r>
  <r>
    <x v="0"/>
    <x v="0"/>
    <x v="9"/>
    <x v="88"/>
    <x v="1"/>
    <x v="1"/>
    <x v="0"/>
    <x v="0"/>
    <x v="0"/>
    <x v="30"/>
    <x v="28"/>
    <x v="26"/>
    <x v="26"/>
  </r>
  <r>
    <x v="0"/>
    <x v="0"/>
    <x v="9"/>
    <x v="88"/>
    <x v="0"/>
    <x v="0"/>
    <x v="0"/>
    <x v="0"/>
    <x v="0"/>
    <x v="42"/>
    <x v="42"/>
    <x v="27"/>
    <x v="27"/>
  </r>
  <r>
    <x v="1"/>
    <x v="1"/>
    <x v="11"/>
    <x v="48"/>
    <x v="112"/>
    <x v="116"/>
    <x v="33"/>
    <x v="0"/>
    <x v="5"/>
    <x v="87"/>
    <x v="76"/>
    <x v="143"/>
    <x v="143"/>
  </r>
  <r>
    <x v="1"/>
    <x v="1"/>
    <x v="12"/>
    <x v="21"/>
    <x v="96"/>
    <x v="96"/>
    <x v="33"/>
    <x v="0"/>
    <x v="3"/>
    <x v="90"/>
    <x v="91"/>
    <x v="127"/>
    <x v="127"/>
  </r>
  <r>
    <x v="1"/>
    <x v="1"/>
    <x v="13"/>
    <x v="20"/>
    <x v="98"/>
    <x v="99"/>
    <x v="24"/>
    <x v="0"/>
    <x v="3"/>
    <x v="83"/>
    <x v="75"/>
    <x v="126"/>
    <x v="126"/>
  </r>
  <r>
    <x v="1"/>
    <x v="1"/>
    <x v="17"/>
    <x v="46"/>
    <x v="120"/>
    <x v="119"/>
    <x v="63"/>
    <x v="44"/>
    <x v="12"/>
    <x v="91"/>
    <x v="95"/>
    <x v="151"/>
    <x v="151"/>
  </r>
  <r>
    <x v="1"/>
    <x v="1"/>
    <x v="17"/>
    <x v="46"/>
    <x v="130"/>
    <x v="132"/>
    <x v="80"/>
    <x v="45"/>
    <x v="12"/>
    <x v="94"/>
    <x v="94"/>
    <x v="158"/>
    <x v="158"/>
  </r>
  <r>
    <x v="1"/>
    <x v="1"/>
    <x v="14"/>
    <x v="34"/>
    <x v="123"/>
    <x v="125"/>
    <x v="42"/>
    <x v="0"/>
    <x v="1"/>
    <x v="37"/>
    <x v="39"/>
    <x v="152"/>
    <x v="152"/>
  </r>
  <r>
    <x v="1"/>
    <x v="1"/>
    <x v="14"/>
    <x v="34"/>
    <x v="149"/>
    <x v="149"/>
    <x v="76"/>
    <x v="0"/>
    <x v="1"/>
    <x v="58"/>
    <x v="46"/>
    <x v="180"/>
    <x v="180"/>
  </r>
  <r>
    <x v="1"/>
    <x v="1"/>
    <x v="15"/>
    <x v="9"/>
    <x v="127"/>
    <x v="130"/>
    <x v="62"/>
    <x v="22"/>
    <x v="20"/>
    <x v="154"/>
    <x v="119"/>
    <x v="162"/>
    <x v="162"/>
  </r>
  <r>
    <x v="1"/>
    <x v="1"/>
    <x v="16"/>
    <x v="11"/>
    <x v="126"/>
    <x v="126"/>
    <x v="70"/>
    <x v="33"/>
    <x v="12"/>
    <x v="158"/>
    <x v="121"/>
    <x v="157"/>
    <x v="157"/>
  </r>
  <r>
    <x v="0"/>
    <x v="0"/>
    <x v="18"/>
    <x v="59"/>
    <x v="42"/>
    <x v="41"/>
    <x v="10"/>
    <x v="0"/>
    <x v="22"/>
    <x v="45"/>
    <x v="43"/>
    <x v="55"/>
    <x v="55"/>
  </r>
  <r>
    <x v="0"/>
    <x v="0"/>
    <x v="19"/>
    <x v="60"/>
    <x v="11"/>
    <x v="8"/>
    <x v="3"/>
    <x v="0"/>
    <x v="29"/>
    <x v="11"/>
    <x v="13"/>
    <x v="24"/>
    <x v="24"/>
  </r>
  <r>
    <x v="0"/>
    <x v="0"/>
    <x v="19"/>
    <x v="60"/>
    <x v="41"/>
    <x v="39"/>
    <x v="6"/>
    <x v="1"/>
    <x v="38"/>
    <x v="50"/>
    <x v="49"/>
    <x v="64"/>
    <x v="64"/>
  </r>
  <r>
    <x v="0"/>
    <x v="0"/>
    <x v="20"/>
    <x v="124"/>
    <x v="52"/>
    <x v="54"/>
    <x v="15"/>
    <x v="3"/>
    <x v="16"/>
    <x v="58"/>
    <x v="60"/>
    <x v="75"/>
    <x v="75"/>
  </r>
  <r>
    <x v="0"/>
    <x v="0"/>
    <x v="22"/>
    <x v="125"/>
    <x v="75"/>
    <x v="74"/>
    <x v="49"/>
    <x v="23"/>
    <x v="25"/>
    <x v="97"/>
    <x v="84"/>
    <x v="98"/>
    <x v="98"/>
  </r>
  <r>
    <x v="0"/>
    <x v="0"/>
    <x v="23"/>
    <x v="111"/>
    <x v="15"/>
    <x v="17"/>
    <x v="0"/>
    <x v="0"/>
    <x v="28"/>
    <x v="39"/>
    <x v="39"/>
    <x v="45"/>
    <x v="45"/>
  </r>
  <r>
    <x v="0"/>
    <x v="0"/>
    <x v="23"/>
    <x v="111"/>
    <x v="0"/>
    <x v="0"/>
    <x v="0"/>
    <x v="0"/>
    <x v="6"/>
    <x v="2"/>
    <x v="2"/>
    <x v="6"/>
    <x v="6"/>
  </r>
  <r>
    <x v="0"/>
    <x v="0"/>
    <x v="24"/>
    <x v="112"/>
    <x v="92"/>
    <x v="93"/>
    <x v="7"/>
    <x v="0"/>
    <x v="49"/>
    <x v="50"/>
    <x v="51"/>
    <x v="125"/>
    <x v="125"/>
  </r>
  <r>
    <x v="0"/>
    <x v="0"/>
    <x v="24"/>
    <x v="112"/>
    <x v="9"/>
    <x v="10"/>
    <x v="0"/>
    <x v="0"/>
    <x v="6"/>
    <x v="2"/>
    <x v="2"/>
    <x v="13"/>
    <x v="13"/>
  </r>
  <r>
    <x v="1"/>
    <x v="1"/>
    <x v="21"/>
    <x v="44"/>
    <x v="64"/>
    <x v="64"/>
    <x v="48"/>
    <x v="31"/>
    <x v="25"/>
    <x v="151"/>
    <x v="106"/>
    <x v="94"/>
    <x v="94"/>
  </r>
  <r>
    <x v="1"/>
    <x v="1"/>
    <x v="21"/>
    <x v="44"/>
    <x v="0"/>
    <x v="0"/>
    <x v="0"/>
    <x v="0"/>
    <x v="7"/>
    <x v="2"/>
    <x v="2"/>
    <x v="8"/>
    <x v="8"/>
  </r>
  <r>
    <x v="1"/>
    <x v="1"/>
    <x v="21"/>
    <x v="44"/>
    <x v="57"/>
    <x v="59"/>
    <x v="28"/>
    <x v="25"/>
    <x v="42"/>
    <x v="115"/>
    <x v="104"/>
    <x v="89"/>
    <x v="89"/>
  </r>
  <r>
    <x v="0"/>
    <x v="0"/>
    <x v="25"/>
    <x v="122"/>
    <x v="47"/>
    <x v="48"/>
    <x v="2"/>
    <x v="1"/>
    <x v="10"/>
    <x v="95"/>
    <x v="93"/>
    <x v="69"/>
    <x v="69"/>
  </r>
  <r>
    <x v="0"/>
    <x v="0"/>
    <x v="26"/>
    <x v="67"/>
    <x v="194"/>
    <x v="192"/>
    <x v="145"/>
    <x v="14"/>
    <x v="34"/>
    <x v="139"/>
    <x v="126"/>
    <x v="225"/>
    <x v="225"/>
  </r>
  <r>
    <x v="0"/>
    <x v="0"/>
    <x v="26"/>
    <x v="67"/>
    <x v="184"/>
    <x v="189"/>
    <x v="92"/>
    <x v="11"/>
    <x v="32"/>
    <x v="113"/>
    <x v="114"/>
    <x v="215"/>
    <x v="215"/>
  </r>
  <r>
    <x v="0"/>
    <x v="0"/>
    <x v="26"/>
    <x v="67"/>
    <x v="197"/>
    <x v="195"/>
    <x v="133"/>
    <x v="10"/>
    <x v="41"/>
    <x v="126"/>
    <x v="123"/>
    <x v="227"/>
    <x v="227"/>
  </r>
  <r>
    <x v="1"/>
    <x v="1"/>
    <x v="27"/>
    <x v="43"/>
    <x v="100"/>
    <x v="102"/>
    <x v="31"/>
    <x v="9"/>
    <x v="7"/>
    <x v="71"/>
    <x v="69"/>
    <x v="128"/>
    <x v="128"/>
  </r>
  <r>
    <x v="1"/>
    <x v="1"/>
    <x v="27"/>
    <x v="43"/>
    <x v="153"/>
    <x v="155"/>
    <x v="33"/>
    <x v="18"/>
    <x v="0"/>
    <x v="52"/>
    <x v="45"/>
    <x v="184"/>
    <x v="184"/>
  </r>
  <r>
    <x v="0"/>
    <x v="0"/>
    <x v="28"/>
    <x v="139"/>
    <x v="55"/>
    <x v="58"/>
    <x v="8"/>
    <x v="0"/>
    <x v="47"/>
    <x v="32"/>
    <x v="35"/>
    <x v="81"/>
    <x v="81"/>
  </r>
  <r>
    <x v="0"/>
    <x v="0"/>
    <x v="30"/>
    <x v="61"/>
    <x v="68"/>
    <x v="66"/>
    <x v="34"/>
    <x v="0"/>
    <x v="16"/>
    <x v="69"/>
    <x v="67"/>
    <x v="87"/>
    <x v="87"/>
  </r>
  <r>
    <x v="0"/>
    <x v="0"/>
    <x v="30"/>
    <x v="61"/>
    <x v="0"/>
    <x v="0"/>
    <x v="0"/>
    <x v="0"/>
    <x v="0"/>
    <x v="2"/>
    <x v="0"/>
    <x v="0"/>
    <x v="0"/>
  </r>
  <r>
    <x v="0"/>
    <x v="0"/>
    <x v="31"/>
    <x v="62"/>
    <x v="69"/>
    <x v="67"/>
    <x v="35"/>
    <x v="0"/>
    <x v="22"/>
    <x v="60"/>
    <x v="56"/>
    <x v="88"/>
    <x v="88"/>
  </r>
  <r>
    <x v="0"/>
    <x v="0"/>
    <x v="31"/>
    <x v="62"/>
    <x v="0"/>
    <x v="0"/>
    <x v="0"/>
    <x v="0"/>
    <x v="0"/>
    <x v="2"/>
    <x v="0"/>
    <x v="0"/>
    <x v="0"/>
  </r>
  <r>
    <x v="1"/>
    <x v="1"/>
    <x v="32"/>
    <x v="35"/>
    <x v="94"/>
    <x v="90"/>
    <x v="44"/>
    <x v="16"/>
    <x v="31"/>
    <x v="128"/>
    <x v="89"/>
    <x v="129"/>
    <x v="129"/>
  </r>
  <r>
    <x v="1"/>
    <x v="1"/>
    <x v="33"/>
    <x v="22"/>
    <x v="103"/>
    <x v="97"/>
    <x v="51"/>
    <x v="6"/>
    <x v="20"/>
    <x v="152"/>
    <x v="113"/>
    <x v="137"/>
    <x v="137"/>
  </r>
  <r>
    <x v="1"/>
    <x v="1"/>
    <x v="34"/>
    <x v="37"/>
    <x v="109"/>
    <x v="107"/>
    <x v="59"/>
    <x v="21"/>
    <x v="7"/>
    <x v="79"/>
    <x v="67"/>
    <x v="136"/>
    <x v="136"/>
  </r>
  <r>
    <x v="0"/>
    <x v="0"/>
    <x v="35"/>
    <x v="94"/>
    <x v="200"/>
    <x v="198"/>
    <x v="147"/>
    <x v="0"/>
    <x v="25"/>
    <x v="92"/>
    <x v="89"/>
    <x v="231"/>
    <x v="231"/>
  </r>
  <r>
    <x v="0"/>
    <x v="0"/>
    <x v="35"/>
    <x v="94"/>
    <x v="193"/>
    <x v="196"/>
    <x v="103"/>
    <x v="0"/>
    <x v="29"/>
    <x v="62"/>
    <x v="64"/>
    <x v="224"/>
    <x v="224"/>
  </r>
  <r>
    <x v="0"/>
    <x v="0"/>
    <x v="35"/>
    <x v="94"/>
    <x v="203"/>
    <x v="201"/>
    <x v="136"/>
    <x v="0"/>
    <x v="25"/>
    <x v="57"/>
    <x v="63"/>
    <x v="233"/>
    <x v="233"/>
  </r>
  <r>
    <x v="0"/>
    <x v="0"/>
    <x v="36"/>
    <x v="95"/>
    <x v="16"/>
    <x v="16"/>
    <x v="1"/>
    <x v="1"/>
    <x v="0"/>
    <x v="54"/>
    <x v="52"/>
    <x v="35"/>
    <x v="35"/>
  </r>
  <r>
    <x v="0"/>
    <x v="0"/>
    <x v="36"/>
    <x v="95"/>
    <x v="49"/>
    <x v="49"/>
    <x v="16"/>
    <x v="9"/>
    <x v="0"/>
    <x v="31"/>
    <x v="31"/>
    <x v="60"/>
    <x v="60"/>
  </r>
  <r>
    <x v="0"/>
    <x v="0"/>
    <x v="36"/>
    <x v="95"/>
    <x v="8"/>
    <x v="6"/>
    <x v="2"/>
    <x v="3"/>
    <x v="0"/>
    <x v="35"/>
    <x v="36"/>
    <x v="28"/>
    <x v="28"/>
  </r>
  <r>
    <x v="0"/>
    <x v="0"/>
    <x v="37"/>
    <x v="118"/>
    <x v="17"/>
    <x v="18"/>
    <x v="1"/>
    <x v="0"/>
    <x v="56"/>
    <x v="58"/>
    <x v="47"/>
    <x v="71"/>
    <x v="71"/>
  </r>
  <r>
    <x v="0"/>
    <x v="0"/>
    <x v="37"/>
    <x v="118"/>
    <x v="0"/>
    <x v="0"/>
    <x v="0"/>
    <x v="0"/>
    <x v="7"/>
    <x v="3"/>
    <x v="3"/>
    <x v="9"/>
    <x v="9"/>
  </r>
  <r>
    <x v="1"/>
    <x v="1"/>
    <x v="38"/>
    <x v="1"/>
    <x v="133"/>
    <x v="131"/>
    <x v="67"/>
    <x v="2"/>
    <x v="4"/>
    <x v="159"/>
    <x v="129"/>
    <x v="168"/>
    <x v="168"/>
  </r>
  <r>
    <x v="0"/>
    <x v="0"/>
    <x v="39"/>
    <x v="130"/>
    <x v="25"/>
    <x v="24"/>
    <x v="2"/>
    <x v="0"/>
    <x v="44"/>
    <x v="59"/>
    <x v="52"/>
    <x v="58"/>
    <x v="58"/>
  </r>
  <r>
    <x v="0"/>
    <x v="0"/>
    <x v="40"/>
    <x v="132"/>
    <x v="51"/>
    <x v="51"/>
    <x v="4"/>
    <x v="0"/>
    <x v="7"/>
    <x v="10"/>
    <x v="11"/>
    <x v="51"/>
    <x v="51"/>
  </r>
  <r>
    <x v="0"/>
    <x v="0"/>
    <x v="40"/>
    <x v="132"/>
    <x v="155"/>
    <x v="157"/>
    <x v="54"/>
    <x v="0"/>
    <x v="13"/>
    <x v="91"/>
    <x v="92"/>
    <x v="186"/>
    <x v="186"/>
  </r>
  <r>
    <x v="0"/>
    <x v="0"/>
    <x v="40"/>
    <x v="132"/>
    <x v="137"/>
    <x v="139"/>
    <x v="65"/>
    <x v="0"/>
    <x v="10"/>
    <x v="85"/>
    <x v="86"/>
    <x v="166"/>
    <x v="166"/>
  </r>
  <r>
    <x v="0"/>
    <x v="0"/>
    <x v="41"/>
    <x v="99"/>
    <x v="220"/>
    <x v="212"/>
    <x v="159"/>
    <x v="0"/>
    <x v="18"/>
    <x v="112"/>
    <x v="102"/>
    <x v="249"/>
    <x v="249"/>
  </r>
  <r>
    <x v="0"/>
    <x v="0"/>
    <x v="41"/>
    <x v="99"/>
    <x v="118"/>
    <x v="121"/>
    <x v="17"/>
    <x v="0"/>
    <x v="21"/>
    <x v="22"/>
    <x v="22"/>
    <x v="146"/>
    <x v="146"/>
  </r>
  <r>
    <x v="0"/>
    <x v="0"/>
    <x v="41"/>
    <x v="99"/>
    <x v="213"/>
    <x v="211"/>
    <x v="134"/>
    <x v="0"/>
    <x v="24"/>
    <x v="74"/>
    <x v="79"/>
    <x v="243"/>
    <x v="243"/>
  </r>
  <r>
    <x v="0"/>
    <x v="0"/>
    <x v="42"/>
    <x v="82"/>
    <x v="164"/>
    <x v="162"/>
    <x v="112"/>
    <x v="9"/>
    <x v="7"/>
    <x v="128"/>
    <x v="115"/>
    <x v="194"/>
    <x v="194"/>
  </r>
  <r>
    <x v="0"/>
    <x v="0"/>
    <x v="42"/>
    <x v="82"/>
    <x v="181"/>
    <x v="182"/>
    <x v="93"/>
    <x v="18"/>
    <x v="5"/>
    <x v="116"/>
    <x v="112"/>
    <x v="210"/>
    <x v="210"/>
  </r>
  <r>
    <x v="0"/>
    <x v="0"/>
    <x v="42"/>
    <x v="82"/>
    <x v="169"/>
    <x v="169"/>
    <x v="111"/>
    <x v="5"/>
    <x v="8"/>
    <x v="116"/>
    <x v="116"/>
    <x v="200"/>
    <x v="200"/>
  </r>
  <r>
    <x v="1"/>
    <x v="1"/>
    <x v="43"/>
    <x v="26"/>
    <x v="81"/>
    <x v="82"/>
    <x v="16"/>
    <x v="1"/>
    <x v="7"/>
    <x v="60"/>
    <x v="59"/>
    <x v="101"/>
    <x v="101"/>
  </r>
  <r>
    <x v="1"/>
    <x v="1"/>
    <x v="43"/>
    <x v="26"/>
    <x v="152"/>
    <x v="153"/>
    <x v="57"/>
    <x v="7"/>
    <x v="12"/>
    <x v="81"/>
    <x v="74"/>
    <x v="183"/>
    <x v="183"/>
  </r>
  <r>
    <x v="0"/>
    <x v="0"/>
    <x v="44"/>
    <x v="78"/>
    <x v="171"/>
    <x v="172"/>
    <x v="121"/>
    <x v="0"/>
    <x v="67"/>
    <x v="130"/>
    <x v="117"/>
    <x v="209"/>
    <x v="209"/>
  </r>
  <r>
    <x v="0"/>
    <x v="0"/>
    <x v="44"/>
    <x v="78"/>
    <x v="182"/>
    <x v="183"/>
    <x v="75"/>
    <x v="0"/>
    <x v="62"/>
    <x v="112"/>
    <x v="110"/>
    <x v="213"/>
    <x v="213"/>
  </r>
  <r>
    <x v="0"/>
    <x v="0"/>
    <x v="44"/>
    <x v="78"/>
    <x v="172"/>
    <x v="171"/>
    <x v="118"/>
    <x v="0"/>
    <x v="63"/>
    <x v="105"/>
    <x v="106"/>
    <x v="208"/>
    <x v="208"/>
  </r>
  <r>
    <x v="0"/>
    <x v="0"/>
    <x v="45"/>
    <x v="81"/>
    <x v="2"/>
    <x v="2"/>
    <x v="0"/>
    <x v="0"/>
    <x v="65"/>
    <x v="88"/>
    <x v="79"/>
    <x v="109"/>
    <x v="109"/>
  </r>
  <r>
    <x v="0"/>
    <x v="0"/>
    <x v="45"/>
    <x v="81"/>
    <x v="23"/>
    <x v="24"/>
    <x v="1"/>
    <x v="0"/>
    <x v="61"/>
    <x v="80"/>
    <x v="78"/>
    <x v="96"/>
    <x v="96"/>
  </r>
  <r>
    <x v="0"/>
    <x v="0"/>
    <x v="45"/>
    <x v="81"/>
    <x v="2"/>
    <x v="1"/>
    <x v="0"/>
    <x v="0"/>
    <x v="64"/>
    <x v="75"/>
    <x v="80"/>
    <x v="104"/>
    <x v="104"/>
  </r>
  <r>
    <x v="0"/>
    <x v="0"/>
    <x v="46"/>
    <x v="117"/>
    <x v="136"/>
    <x v="142"/>
    <x v="47"/>
    <x v="0"/>
    <x v="32"/>
    <x v="56"/>
    <x v="60"/>
    <x v="167"/>
    <x v="167"/>
  </r>
  <r>
    <x v="0"/>
    <x v="0"/>
    <x v="46"/>
    <x v="117"/>
    <x v="10"/>
    <x v="11"/>
    <x v="0"/>
    <x v="0"/>
    <x v="17"/>
    <x v="2"/>
    <x v="1"/>
    <x v="19"/>
    <x v="19"/>
  </r>
  <r>
    <x v="1"/>
    <x v="1"/>
    <x v="47"/>
    <x v="38"/>
    <x v="79"/>
    <x v="77"/>
    <x v="40"/>
    <x v="0"/>
    <x v="12"/>
    <x v="145"/>
    <x v="52"/>
    <x v="113"/>
    <x v="113"/>
  </r>
  <r>
    <x v="1"/>
    <x v="1"/>
    <x v="29"/>
    <x v="47"/>
    <x v="40"/>
    <x v="39"/>
    <x v="7"/>
    <x v="0"/>
    <x v="12"/>
    <x v="128"/>
    <x v="44"/>
    <x v="68"/>
    <x v="68"/>
  </r>
  <r>
    <x v="0"/>
    <x v="0"/>
    <x v="48"/>
    <x v="135"/>
    <x v="232"/>
    <x v="231"/>
    <x v="164"/>
    <x v="0"/>
    <x v="44"/>
    <x v="164"/>
    <x v="144"/>
    <x v="263"/>
    <x v="263"/>
  </r>
  <r>
    <x v="0"/>
    <x v="0"/>
    <x v="48"/>
    <x v="135"/>
    <x v="225"/>
    <x v="225"/>
    <x v="115"/>
    <x v="0"/>
    <x v="38"/>
    <x v="161"/>
    <x v="142"/>
    <x v="256"/>
    <x v="256"/>
  </r>
  <r>
    <x v="0"/>
    <x v="0"/>
    <x v="48"/>
    <x v="135"/>
    <x v="233"/>
    <x v="232"/>
    <x v="158"/>
    <x v="0"/>
    <x v="45"/>
    <x v="156"/>
    <x v="138"/>
    <x v="264"/>
    <x v="264"/>
  </r>
  <r>
    <x v="0"/>
    <x v="0"/>
    <x v="49"/>
    <x v="136"/>
    <x v="59"/>
    <x v="57"/>
    <x v="9"/>
    <x v="0"/>
    <x v="0"/>
    <x v="143"/>
    <x v="129"/>
    <x v="85"/>
    <x v="85"/>
  </r>
  <r>
    <x v="0"/>
    <x v="0"/>
    <x v="49"/>
    <x v="136"/>
    <x v="175"/>
    <x v="179"/>
    <x v="84"/>
    <x v="0"/>
    <x v="0"/>
    <x v="124"/>
    <x v="120"/>
    <x v="204"/>
    <x v="204"/>
  </r>
  <r>
    <x v="0"/>
    <x v="0"/>
    <x v="49"/>
    <x v="136"/>
    <x v="30"/>
    <x v="28"/>
    <x v="16"/>
    <x v="0"/>
    <x v="0"/>
    <x v="137"/>
    <x v="127"/>
    <x v="59"/>
    <x v="59"/>
  </r>
  <r>
    <x v="0"/>
    <x v="0"/>
    <x v="50"/>
    <x v="133"/>
    <x v="183"/>
    <x v="181"/>
    <x v="138"/>
    <x v="49"/>
    <x v="58"/>
    <x v="138"/>
    <x v="123"/>
    <x v="214"/>
    <x v="214"/>
  </r>
  <r>
    <x v="0"/>
    <x v="0"/>
    <x v="50"/>
    <x v="133"/>
    <x v="209"/>
    <x v="214"/>
    <x v="149"/>
    <x v="52"/>
    <x v="55"/>
    <x v="115"/>
    <x v="104"/>
    <x v="237"/>
    <x v="237"/>
  </r>
  <r>
    <x v="0"/>
    <x v="0"/>
    <x v="50"/>
    <x v="133"/>
    <x v="185"/>
    <x v="187"/>
    <x v="132"/>
    <x v="50"/>
    <x v="58"/>
    <x v="132"/>
    <x v="125"/>
    <x v="222"/>
    <x v="222"/>
  </r>
  <r>
    <x v="1"/>
    <x v="1"/>
    <x v="51"/>
    <x v="28"/>
    <x v="26"/>
    <x v="30"/>
    <x v="2"/>
    <x v="0"/>
    <x v="7"/>
    <x v="12"/>
    <x v="15"/>
    <x v="25"/>
    <x v="25"/>
  </r>
  <r>
    <x v="1"/>
    <x v="1"/>
    <x v="52"/>
    <x v="52"/>
    <x v="50"/>
    <x v="47"/>
    <x v="22"/>
    <x v="0"/>
    <x v="0"/>
    <x v="127"/>
    <x v="30"/>
    <x v="76"/>
    <x v="76"/>
  </r>
  <r>
    <x v="0"/>
    <x v="0"/>
    <x v="53"/>
    <x v="137"/>
    <x v="71"/>
    <x v="72"/>
    <x v="25"/>
    <x v="0"/>
    <x v="46"/>
    <x v="96"/>
    <x v="100"/>
    <x v="102"/>
    <x v="102"/>
  </r>
  <r>
    <x v="0"/>
    <x v="0"/>
    <x v="53"/>
    <x v="137"/>
    <x v="90"/>
    <x v="88"/>
    <x v="47"/>
    <x v="0"/>
    <x v="47"/>
    <x v="83"/>
    <x v="87"/>
    <x v="123"/>
    <x v="123"/>
  </r>
  <r>
    <x v="0"/>
    <x v="0"/>
    <x v="54"/>
    <x v="104"/>
    <x v="32"/>
    <x v="32"/>
    <x v="8"/>
    <x v="3"/>
    <x v="16"/>
    <x v="58"/>
    <x v="54"/>
    <x v="52"/>
    <x v="52"/>
  </r>
  <r>
    <x v="0"/>
    <x v="0"/>
    <x v="54"/>
    <x v="104"/>
    <x v="0"/>
    <x v="0"/>
    <x v="0"/>
    <x v="0"/>
    <x v="7"/>
    <x v="1"/>
    <x v="1"/>
    <x v="7"/>
    <x v="7"/>
  </r>
  <r>
    <x v="0"/>
    <x v="0"/>
    <x v="55"/>
    <x v="106"/>
    <x v="168"/>
    <x v="166"/>
    <x v="127"/>
    <x v="0"/>
    <x v="13"/>
    <x v="118"/>
    <x v="107"/>
    <x v="199"/>
    <x v="199"/>
  </r>
  <r>
    <x v="0"/>
    <x v="0"/>
    <x v="55"/>
    <x v="106"/>
    <x v="62"/>
    <x v="63"/>
    <x v="3"/>
    <x v="0"/>
    <x v="10"/>
    <x v="17"/>
    <x v="18"/>
    <x v="74"/>
    <x v="74"/>
  </r>
  <r>
    <x v="0"/>
    <x v="0"/>
    <x v="55"/>
    <x v="106"/>
    <x v="165"/>
    <x v="165"/>
    <x v="102"/>
    <x v="0"/>
    <x v="13"/>
    <x v="88"/>
    <x v="87"/>
    <x v="196"/>
    <x v="196"/>
  </r>
  <r>
    <x v="0"/>
    <x v="0"/>
    <x v="56"/>
    <x v="114"/>
    <x v="14"/>
    <x v="15"/>
    <x v="0"/>
    <x v="0"/>
    <x v="30"/>
    <x v="39"/>
    <x v="39"/>
    <x v="46"/>
    <x v="46"/>
  </r>
  <r>
    <x v="0"/>
    <x v="0"/>
    <x v="56"/>
    <x v="114"/>
    <x v="0"/>
    <x v="0"/>
    <x v="0"/>
    <x v="0"/>
    <x v="6"/>
    <x v="2"/>
    <x v="2"/>
    <x v="6"/>
    <x v="6"/>
  </r>
  <r>
    <x v="1"/>
    <x v="1"/>
    <x v="57"/>
    <x v="31"/>
    <x v="73"/>
    <x v="71"/>
    <x v="28"/>
    <x v="3"/>
    <x v="12"/>
    <x v="114"/>
    <x v="69"/>
    <x v="95"/>
    <x v="95"/>
  </r>
  <r>
    <x v="0"/>
    <x v="0"/>
    <x v="58"/>
    <x v="109"/>
    <x v="59"/>
    <x v="60"/>
    <x v="4"/>
    <x v="0"/>
    <x v="25"/>
    <x v="119"/>
    <x v="118"/>
    <x v="86"/>
    <x v="86"/>
  </r>
  <r>
    <x v="0"/>
    <x v="0"/>
    <x v="58"/>
    <x v="109"/>
    <x v="4"/>
    <x v="4"/>
    <x v="0"/>
    <x v="0"/>
    <x v="4"/>
    <x v="6"/>
    <x v="6"/>
    <x v="15"/>
    <x v="15"/>
  </r>
  <r>
    <x v="1"/>
    <x v="1"/>
    <x v="59"/>
    <x v="4"/>
    <x v="188"/>
    <x v="184"/>
    <x v="131"/>
    <x v="46"/>
    <x v="4"/>
    <x v="155"/>
    <x v="94"/>
    <x v="217"/>
    <x v="217"/>
  </r>
  <r>
    <x v="1"/>
    <x v="1"/>
    <x v="59"/>
    <x v="4"/>
    <x v="174"/>
    <x v="173"/>
    <x v="122"/>
    <x v="42"/>
    <x v="9"/>
    <x v="138"/>
    <x v="102"/>
    <x v="203"/>
    <x v="203"/>
  </r>
  <r>
    <x v="1"/>
    <x v="1"/>
    <x v="59"/>
    <x v="4"/>
    <x v="144"/>
    <x v="145"/>
    <x v="88"/>
    <x v="48"/>
    <x v="9"/>
    <x v="65"/>
    <x v="58"/>
    <x v="171"/>
    <x v="171"/>
  </r>
  <r>
    <x v="1"/>
    <x v="1"/>
    <x v="60"/>
    <x v="2"/>
    <x v="145"/>
    <x v="141"/>
    <x v="86"/>
    <x v="41"/>
    <x v="7"/>
    <x v="101"/>
    <x v="85"/>
    <x v="175"/>
    <x v="175"/>
  </r>
  <r>
    <x v="1"/>
    <x v="1"/>
    <x v="60"/>
    <x v="2"/>
    <x v="141"/>
    <x v="135"/>
    <x v="101"/>
    <x v="47"/>
    <x v="20"/>
    <x v="132"/>
    <x v="107"/>
    <x v="172"/>
    <x v="172"/>
  </r>
  <r>
    <x v="1"/>
    <x v="1"/>
    <x v="60"/>
    <x v="2"/>
    <x v="66"/>
    <x v="68"/>
    <x v="29"/>
    <x v="25"/>
    <x v="16"/>
    <x v="44"/>
    <x v="41"/>
    <x v="82"/>
    <x v="82"/>
  </r>
  <r>
    <x v="1"/>
    <x v="1"/>
    <x v="61"/>
    <x v="24"/>
    <x v="110"/>
    <x v="110"/>
    <x v="21"/>
    <x v="0"/>
    <x v="0"/>
    <x v="72"/>
    <x v="51"/>
    <x v="138"/>
    <x v="138"/>
  </r>
  <r>
    <x v="1"/>
    <x v="1"/>
    <x v="61"/>
    <x v="24"/>
    <x v="108"/>
    <x v="109"/>
    <x v="35"/>
    <x v="0"/>
    <x v="0"/>
    <x v="82"/>
    <x v="68"/>
    <x v="135"/>
    <x v="135"/>
  </r>
  <r>
    <x v="1"/>
    <x v="1"/>
    <x v="62"/>
    <x v="6"/>
    <x v="160"/>
    <x v="159"/>
    <x v="100"/>
    <x v="0"/>
    <x v="12"/>
    <x v="117"/>
    <x v="88"/>
    <x v="191"/>
    <x v="191"/>
  </r>
  <r>
    <x v="1"/>
    <x v="1"/>
    <x v="62"/>
    <x v="6"/>
    <x v="156"/>
    <x v="156"/>
    <x v="94"/>
    <x v="0"/>
    <x v="12"/>
    <x v="107"/>
    <x v="90"/>
    <x v="187"/>
    <x v="187"/>
  </r>
  <r>
    <x v="1"/>
    <x v="1"/>
    <x v="62"/>
    <x v="6"/>
    <x v="67"/>
    <x v="69"/>
    <x v="9"/>
    <x v="0"/>
    <x v="12"/>
    <x v="24"/>
    <x v="22"/>
    <x v="79"/>
    <x v="79"/>
  </r>
  <r>
    <x v="1"/>
    <x v="1"/>
    <x v="63"/>
    <x v="7"/>
    <x v="170"/>
    <x v="170"/>
    <x v="114"/>
    <x v="0"/>
    <x v="12"/>
    <x v="121"/>
    <x v="53"/>
    <x v="201"/>
    <x v="201"/>
  </r>
  <r>
    <x v="1"/>
    <x v="1"/>
    <x v="63"/>
    <x v="7"/>
    <x v="167"/>
    <x v="167"/>
    <x v="106"/>
    <x v="0"/>
    <x v="7"/>
    <x v="127"/>
    <x v="91"/>
    <x v="198"/>
    <x v="198"/>
  </r>
  <r>
    <x v="1"/>
    <x v="1"/>
    <x v="63"/>
    <x v="7"/>
    <x v="76"/>
    <x v="76"/>
    <x v="9"/>
    <x v="0"/>
    <x v="12"/>
    <x v="25"/>
    <x v="21"/>
    <x v="91"/>
    <x v="91"/>
  </r>
  <r>
    <x v="1"/>
    <x v="1"/>
    <x v="64"/>
    <x v="5"/>
    <x v="80"/>
    <x v="79"/>
    <x v="38"/>
    <x v="3"/>
    <x v="2"/>
    <x v="116"/>
    <x v="98"/>
    <x v="107"/>
    <x v="107"/>
  </r>
  <r>
    <x v="0"/>
    <x v="0"/>
    <x v="65"/>
    <x v="140"/>
    <x v="28"/>
    <x v="27"/>
    <x v="2"/>
    <x v="0"/>
    <x v="0"/>
    <x v="7"/>
    <x v="8"/>
    <x v="21"/>
    <x v="21"/>
  </r>
  <r>
    <x v="0"/>
    <x v="0"/>
    <x v="66"/>
    <x v="141"/>
    <x v="29"/>
    <x v="27"/>
    <x v="3"/>
    <x v="0"/>
    <x v="0"/>
    <x v="7"/>
    <x v="8"/>
    <x v="22"/>
    <x v="22"/>
  </r>
  <r>
    <x v="0"/>
    <x v="0"/>
    <x v="67"/>
    <x v="138"/>
    <x v="0"/>
    <x v="0"/>
    <x v="0"/>
    <x v="0"/>
    <x v="0"/>
    <x v="7"/>
    <x v="7"/>
    <x v="11"/>
    <x v="11"/>
  </r>
  <r>
    <x v="0"/>
    <x v="0"/>
    <x v="68"/>
    <x v="115"/>
    <x v="0"/>
    <x v="0"/>
    <x v="0"/>
    <x v="0"/>
    <x v="0"/>
    <x v="2"/>
    <x v="0"/>
    <x v="0"/>
    <x v="0"/>
  </r>
  <r>
    <x v="0"/>
    <x v="0"/>
    <x v="69"/>
    <x v="102"/>
    <x v="202"/>
    <x v="199"/>
    <x v="148"/>
    <x v="0"/>
    <x v="10"/>
    <x v="120"/>
    <x v="115"/>
    <x v="234"/>
    <x v="234"/>
  </r>
  <r>
    <x v="0"/>
    <x v="0"/>
    <x v="69"/>
    <x v="102"/>
    <x v="162"/>
    <x v="164"/>
    <x v="73"/>
    <x v="0"/>
    <x v="10"/>
    <x v="81"/>
    <x v="81"/>
    <x v="193"/>
    <x v="193"/>
  </r>
  <r>
    <x v="0"/>
    <x v="0"/>
    <x v="69"/>
    <x v="102"/>
    <x v="199"/>
    <x v="197"/>
    <x v="141"/>
    <x v="0"/>
    <x v="12"/>
    <x v="112"/>
    <x v="113"/>
    <x v="230"/>
    <x v="230"/>
  </r>
  <r>
    <x v="0"/>
    <x v="0"/>
    <x v="70"/>
    <x v="68"/>
    <x v="231"/>
    <x v="229"/>
    <x v="162"/>
    <x v="1"/>
    <x v="22"/>
    <x v="98"/>
    <x v="94"/>
    <x v="262"/>
    <x v="262"/>
  </r>
  <r>
    <x v="0"/>
    <x v="0"/>
    <x v="70"/>
    <x v="68"/>
    <x v="223"/>
    <x v="224"/>
    <x v="113"/>
    <x v="13"/>
    <x v="22"/>
    <x v="67"/>
    <x v="69"/>
    <x v="254"/>
    <x v="254"/>
  </r>
  <r>
    <x v="0"/>
    <x v="0"/>
    <x v="70"/>
    <x v="68"/>
    <x v="230"/>
    <x v="230"/>
    <x v="153"/>
    <x v="1"/>
    <x v="22"/>
    <x v="97"/>
    <x v="99"/>
    <x v="261"/>
    <x v="261"/>
  </r>
  <r>
    <x v="0"/>
    <x v="0"/>
    <x v="71"/>
    <x v="74"/>
    <x v="6"/>
    <x v="5"/>
    <x v="0"/>
    <x v="0"/>
    <x v="0"/>
    <x v="67"/>
    <x v="67"/>
    <x v="36"/>
    <x v="36"/>
  </r>
  <r>
    <x v="0"/>
    <x v="0"/>
    <x v="71"/>
    <x v="74"/>
    <x v="22"/>
    <x v="23"/>
    <x v="2"/>
    <x v="0"/>
    <x v="0"/>
    <x v="42"/>
    <x v="43"/>
    <x v="37"/>
    <x v="37"/>
  </r>
  <r>
    <x v="0"/>
    <x v="0"/>
    <x v="71"/>
    <x v="74"/>
    <x v="4"/>
    <x v="4"/>
    <x v="0"/>
    <x v="0"/>
    <x v="0"/>
    <x v="58"/>
    <x v="66"/>
    <x v="31"/>
    <x v="31"/>
  </r>
  <r>
    <x v="0"/>
    <x v="0"/>
    <x v="72"/>
    <x v="66"/>
    <x v="45"/>
    <x v="45"/>
    <x v="8"/>
    <x v="15"/>
    <x v="16"/>
    <x v="62"/>
    <x v="57"/>
    <x v="67"/>
    <x v="67"/>
  </r>
  <r>
    <x v="1"/>
    <x v="1"/>
    <x v="73"/>
    <x v="51"/>
    <x v="44"/>
    <x v="43"/>
    <x v="10"/>
    <x v="0"/>
    <x v="1"/>
    <x v="43"/>
    <x v="39"/>
    <x v="54"/>
    <x v="54"/>
  </r>
  <r>
    <x v="1"/>
    <x v="1"/>
    <x v="74"/>
    <x v="18"/>
    <x v="46"/>
    <x v="46"/>
    <x v="4"/>
    <x v="0"/>
    <x v="3"/>
    <x v="40"/>
    <x v="38"/>
    <x v="56"/>
    <x v="56"/>
  </r>
  <r>
    <x v="1"/>
    <x v="1"/>
    <x v="74"/>
    <x v="18"/>
    <x v="0"/>
    <x v="0"/>
    <x v="0"/>
    <x v="0"/>
    <x v="1"/>
    <x v="0"/>
    <x v="0"/>
    <x v="0"/>
    <x v="0"/>
  </r>
  <r>
    <x v="1"/>
    <x v="1"/>
    <x v="75"/>
    <x v="19"/>
    <x v="97"/>
    <x v="98"/>
    <x v="24"/>
    <x v="0"/>
    <x v="7"/>
    <x v="69"/>
    <x v="77"/>
    <x v="124"/>
    <x v="124"/>
  </r>
  <r>
    <x v="1"/>
    <x v="1"/>
    <x v="76"/>
    <x v="25"/>
    <x v="78"/>
    <x v="78"/>
    <x v="50"/>
    <x v="37"/>
    <x v="12"/>
    <x v="144"/>
    <x v="133"/>
    <x v="106"/>
    <x v="106"/>
  </r>
  <r>
    <x v="1"/>
    <x v="1"/>
    <x v="77"/>
    <x v="17"/>
    <x v="119"/>
    <x v="120"/>
    <x v="41"/>
    <x v="0"/>
    <x v="10"/>
    <x v="35"/>
    <x v="30"/>
    <x v="148"/>
    <x v="148"/>
  </r>
  <r>
    <x v="1"/>
    <x v="1"/>
    <x v="77"/>
    <x v="17"/>
    <x v="146"/>
    <x v="146"/>
    <x v="64"/>
    <x v="0"/>
    <x v="7"/>
    <x v="38"/>
    <x v="32"/>
    <x v="170"/>
    <x v="170"/>
  </r>
  <r>
    <x v="1"/>
    <x v="1"/>
    <x v="78"/>
    <x v="36"/>
    <x v="43"/>
    <x v="42"/>
    <x v="9"/>
    <x v="5"/>
    <x v="20"/>
    <x v="68"/>
    <x v="57"/>
    <x v="62"/>
    <x v="62"/>
  </r>
  <r>
    <x v="0"/>
    <x v="0"/>
    <x v="79"/>
    <x v="70"/>
    <x v="238"/>
    <x v="237"/>
    <x v="168"/>
    <x v="0"/>
    <x v="0"/>
    <x v="0"/>
    <x v="0"/>
    <x v="269"/>
    <x v="269"/>
  </r>
  <r>
    <x v="0"/>
    <x v="0"/>
    <x v="79"/>
    <x v="70"/>
    <x v="234"/>
    <x v="233"/>
    <x v="124"/>
    <x v="0"/>
    <x v="0"/>
    <x v="0"/>
    <x v="0"/>
    <x v="265"/>
    <x v="265"/>
  </r>
  <r>
    <x v="0"/>
    <x v="0"/>
    <x v="79"/>
    <x v="70"/>
    <x v="242"/>
    <x v="240"/>
    <x v="165"/>
    <x v="0"/>
    <x v="0"/>
    <x v="0"/>
    <x v="0"/>
    <x v="273"/>
    <x v="273"/>
  </r>
  <r>
    <x v="0"/>
    <x v="0"/>
    <x v="80"/>
    <x v="73"/>
    <x v="240"/>
    <x v="238"/>
    <x v="170"/>
    <x v="0"/>
    <x v="0"/>
    <x v="0"/>
    <x v="0"/>
    <x v="271"/>
    <x v="271"/>
  </r>
  <r>
    <x v="0"/>
    <x v="0"/>
    <x v="80"/>
    <x v="73"/>
    <x v="236"/>
    <x v="235"/>
    <x v="123"/>
    <x v="0"/>
    <x v="0"/>
    <x v="0"/>
    <x v="0"/>
    <x v="267"/>
    <x v="267"/>
  </r>
  <r>
    <x v="0"/>
    <x v="0"/>
    <x v="80"/>
    <x v="73"/>
    <x v="243"/>
    <x v="241"/>
    <x v="167"/>
    <x v="0"/>
    <x v="0"/>
    <x v="0"/>
    <x v="0"/>
    <x v="274"/>
    <x v="274"/>
  </r>
  <r>
    <x v="1"/>
    <x v="1"/>
    <x v="81"/>
    <x v="27"/>
    <x v="101"/>
    <x v="100"/>
    <x v="44"/>
    <x v="0"/>
    <x v="5"/>
    <x v="157"/>
    <x v="139"/>
    <x v="134"/>
    <x v="134"/>
  </r>
  <r>
    <x v="1"/>
    <x v="1"/>
    <x v="81"/>
    <x v="27"/>
    <x v="121"/>
    <x v="122"/>
    <x v="53"/>
    <x v="0"/>
    <x v="5"/>
    <x v="163"/>
    <x v="143"/>
    <x v="153"/>
    <x v="153"/>
  </r>
  <r>
    <x v="0"/>
    <x v="0"/>
    <x v="82"/>
    <x v="71"/>
    <x v="239"/>
    <x v="237"/>
    <x v="169"/>
    <x v="0"/>
    <x v="0"/>
    <x v="0"/>
    <x v="0"/>
    <x v="270"/>
    <x v="270"/>
  </r>
  <r>
    <x v="0"/>
    <x v="0"/>
    <x v="82"/>
    <x v="71"/>
    <x v="234"/>
    <x v="233"/>
    <x v="124"/>
    <x v="0"/>
    <x v="0"/>
    <x v="0"/>
    <x v="0"/>
    <x v="265"/>
    <x v="265"/>
  </r>
  <r>
    <x v="0"/>
    <x v="0"/>
    <x v="82"/>
    <x v="71"/>
    <x v="241"/>
    <x v="239"/>
    <x v="166"/>
    <x v="0"/>
    <x v="0"/>
    <x v="0"/>
    <x v="0"/>
    <x v="272"/>
    <x v="272"/>
  </r>
  <r>
    <x v="0"/>
    <x v="0"/>
    <x v="83"/>
    <x v="63"/>
    <x v="106"/>
    <x v="106"/>
    <x v="64"/>
    <x v="29"/>
    <x v="37"/>
    <x v="108"/>
    <x v="101"/>
    <x v="140"/>
    <x v="140"/>
  </r>
  <r>
    <x v="0"/>
    <x v="0"/>
    <x v="84"/>
    <x v="126"/>
    <x v="86"/>
    <x v="80"/>
    <x v="62"/>
    <x v="30"/>
    <x v="20"/>
    <x v="59"/>
    <x v="65"/>
    <x v="114"/>
    <x v="114"/>
  </r>
  <r>
    <x v="0"/>
    <x v="0"/>
    <x v="85"/>
    <x v="64"/>
    <x v="82"/>
    <x v="83"/>
    <x v="42"/>
    <x v="14"/>
    <x v="32"/>
    <x v="112"/>
    <x v="96"/>
    <x v="117"/>
    <x v="117"/>
  </r>
  <r>
    <x v="0"/>
    <x v="0"/>
    <x v="86"/>
    <x v="65"/>
    <x v="84"/>
    <x v="84"/>
    <x v="61"/>
    <x v="35"/>
    <x v="22"/>
    <x v="105"/>
    <x v="89"/>
    <x v="115"/>
    <x v="115"/>
  </r>
  <r>
    <x v="1"/>
    <x v="1"/>
    <x v="87"/>
    <x v="49"/>
    <x v="122"/>
    <x v="123"/>
    <x v="55"/>
    <x v="4"/>
    <x v="20"/>
    <x v="166"/>
    <x v="94"/>
    <x v="156"/>
    <x v="156"/>
  </r>
  <r>
    <x v="1"/>
    <x v="1"/>
    <x v="88"/>
    <x v="3"/>
    <x v="147"/>
    <x v="148"/>
    <x v="30"/>
    <x v="0"/>
    <x v="20"/>
    <x v="75"/>
    <x v="47"/>
    <x v="177"/>
    <x v="177"/>
  </r>
  <r>
    <x v="0"/>
    <x v="0"/>
    <x v="89"/>
    <x v="100"/>
    <x v="179"/>
    <x v="177"/>
    <x v="129"/>
    <x v="0"/>
    <x v="26"/>
    <x v="153"/>
    <x v="131"/>
    <x v="211"/>
    <x v="211"/>
  </r>
  <r>
    <x v="0"/>
    <x v="0"/>
    <x v="89"/>
    <x v="100"/>
    <x v="93"/>
    <x v="94"/>
    <x v="19"/>
    <x v="0"/>
    <x v="26"/>
    <x v="86"/>
    <x v="82"/>
    <x v="122"/>
    <x v="122"/>
  </r>
  <r>
    <x v="0"/>
    <x v="0"/>
    <x v="89"/>
    <x v="100"/>
    <x v="176"/>
    <x v="174"/>
    <x v="117"/>
    <x v="0"/>
    <x v="30"/>
    <x v="115"/>
    <x v="115"/>
    <x v="205"/>
    <x v="205"/>
  </r>
  <r>
    <x v="0"/>
    <x v="0"/>
    <x v="90"/>
    <x v="77"/>
    <x v="205"/>
    <x v="202"/>
    <x v="151"/>
    <x v="0"/>
    <x v="67"/>
    <x v="129"/>
    <x v="116"/>
    <x v="239"/>
    <x v="239"/>
  </r>
  <r>
    <x v="0"/>
    <x v="0"/>
    <x v="90"/>
    <x v="77"/>
    <x v="218"/>
    <x v="221"/>
    <x v="96"/>
    <x v="0"/>
    <x v="62"/>
    <x v="112"/>
    <x v="110"/>
    <x v="252"/>
    <x v="252"/>
  </r>
  <r>
    <x v="0"/>
    <x v="0"/>
    <x v="90"/>
    <x v="77"/>
    <x v="208"/>
    <x v="208"/>
    <x v="142"/>
    <x v="0"/>
    <x v="63"/>
    <x v="106"/>
    <x v="107"/>
    <x v="244"/>
    <x v="244"/>
  </r>
  <r>
    <x v="0"/>
    <x v="0"/>
    <x v="91"/>
    <x v="80"/>
    <x v="3"/>
    <x v="3"/>
    <x v="0"/>
    <x v="0"/>
    <x v="66"/>
    <x v="91"/>
    <x v="82"/>
    <x v="111"/>
    <x v="111"/>
  </r>
  <r>
    <x v="0"/>
    <x v="0"/>
    <x v="91"/>
    <x v="80"/>
    <x v="24"/>
    <x v="25"/>
    <x v="1"/>
    <x v="0"/>
    <x v="61"/>
    <x v="80"/>
    <x v="78"/>
    <x v="97"/>
    <x v="97"/>
  </r>
  <r>
    <x v="0"/>
    <x v="0"/>
    <x v="91"/>
    <x v="80"/>
    <x v="2"/>
    <x v="1"/>
    <x v="0"/>
    <x v="0"/>
    <x v="64"/>
    <x v="75"/>
    <x v="80"/>
    <x v="104"/>
    <x v="104"/>
  </r>
  <r>
    <x v="0"/>
    <x v="0"/>
    <x v="92"/>
    <x v="93"/>
    <x v="154"/>
    <x v="154"/>
    <x v="79"/>
    <x v="1"/>
    <x v="7"/>
    <x v="100"/>
    <x v="88"/>
    <x v="185"/>
    <x v="185"/>
  </r>
  <r>
    <x v="0"/>
    <x v="0"/>
    <x v="92"/>
    <x v="93"/>
    <x v="201"/>
    <x v="203"/>
    <x v="120"/>
    <x v="28"/>
    <x v="8"/>
    <x v="103"/>
    <x v="97"/>
    <x v="232"/>
    <x v="232"/>
  </r>
  <r>
    <x v="0"/>
    <x v="0"/>
    <x v="92"/>
    <x v="93"/>
    <x v="166"/>
    <x v="168"/>
    <x v="110"/>
    <x v="7"/>
    <x v="8"/>
    <x v="111"/>
    <x v="111"/>
    <x v="197"/>
    <x v="197"/>
  </r>
  <r>
    <x v="1"/>
    <x v="1"/>
    <x v="93"/>
    <x v="41"/>
    <x v="72"/>
    <x v="70"/>
    <x v="23"/>
    <x v="0"/>
    <x v="0"/>
    <x v="161"/>
    <x v="73"/>
    <x v="99"/>
    <x v="99"/>
  </r>
  <r>
    <x v="0"/>
    <x v="0"/>
    <x v="94"/>
    <x v="92"/>
    <x v="138"/>
    <x v="134"/>
    <x v="82"/>
    <x v="13"/>
    <x v="52"/>
    <x v="81"/>
    <x v="67"/>
    <x v="173"/>
    <x v="173"/>
  </r>
  <r>
    <x v="0"/>
    <x v="0"/>
    <x v="94"/>
    <x v="92"/>
    <x v="177"/>
    <x v="178"/>
    <x v="105"/>
    <x v="39"/>
    <x v="59"/>
    <x v="64"/>
    <x v="69"/>
    <x v="207"/>
    <x v="207"/>
  </r>
  <r>
    <x v="0"/>
    <x v="0"/>
    <x v="94"/>
    <x v="92"/>
    <x v="148"/>
    <x v="147"/>
    <x v="77"/>
    <x v="16"/>
    <x v="57"/>
    <x v="99"/>
    <x v="99"/>
    <x v="179"/>
    <x v="179"/>
  </r>
  <r>
    <x v="0"/>
    <x v="0"/>
    <x v="95"/>
    <x v="72"/>
    <x v="237"/>
    <x v="236"/>
    <x v="169"/>
    <x v="0"/>
    <x v="0"/>
    <x v="0"/>
    <x v="0"/>
    <x v="268"/>
    <x v="268"/>
  </r>
  <r>
    <x v="0"/>
    <x v="0"/>
    <x v="95"/>
    <x v="72"/>
    <x v="235"/>
    <x v="234"/>
    <x v="124"/>
    <x v="0"/>
    <x v="0"/>
    <x v="0"/>
    <x v="0"/>
    <x v="266"/>
    <x v="266"/>
  </r>
  <r>
    <x v="0"/>
    <x v="0"/>
    <x v="95"/>
    <x v="72"/>
    <x v="241"/>
    <x v="239"/>
    <x v="166"/>
    <x v="0"/>
    <x v="0"/>
    <x v="0"/>
    <x v="0"/>
    <x v="272"/>
    <x v="272"/>
  </r>
  <r>
    <x v="0"/>
    <x v="0"/>
    <x v="96"/>
    <x v="134"/>
    <x v="38"/>
    <x v="40"/>
    <x v="2"/>
    <x v="0"/>
    <x v="47"/>
    <x v="64"/>
    <x v="55"/>
    <x v="73"/>
    <x v="73"/>
  </r>
  <r>
    <x v="0"/>
    <x v="0"/>
    <x v="96"/>
    <x v="134"/>
    <x v="1"/>
    <x v="1"/>
    <x v="0"/>
    <x v="0"/>
    <x v="3"/>
    <x v="3"/>
    <x v="3"/>
    <x v="4"/>
    <x v="4"/>
  </r>
  <r>
    <x v="0"/>
    <x v="0"/>
    <x v="97"/>
    <x v="69"/>
    <x v="151"/>
    <x v="151"/>
    <x v="98"/>
    <x v="0"/>
    <x v="16"/>
    <x v="89"/>
    <x v="83"/>
    <x v="182"/>
    <x v="182"/>
  </r>
  <r>
    <x v="0"/>
    <x v="0"/>
    <x v="97"/>
    <x v="69"/>
    <x v="111"/>
    <x v="111"/>
    <x v="39"/>
    <x v="0"/>
    <x v="19"/>
    <x v="61"/>
    <x v="63"/>
    <x v="141"/>
    <x v="141"/>
  </r>
  <r>
    <x v="0"/>
    <x v="0"/>
    <x v="97"/>
    <x v="69"/>
    <x v="150"/>
    <x v="150"/>
    <x v="83"/>
    <x v="0"/>
    <x v="16"/>
    <x v="72"/>
    <x v="76"/>
    <x v="181"/>
    <x v="181"/>
  </r>
  <r>
    <x v="0"/>
    <x v="0"/>
    <x v="98"/>
    <x v="75"/>
    <x v="0"/>
    <x v="0"/>
    <x v="0"/>
    <x v="0"/>
    <x v="16"/>
    <x v="59"/>
    <x v="59"/>
    <x v="41"/>
    <x v="41"/>
  </r>
  <r>
    <x v="0"/>
    <x v="0"/>
    <x v="98"/>
    <x v="75"/>
    <x v="10"/>
    <x v="11"/>
    <x v="0"/>
    <x v="0"/>
    <x v="19"/>
    <x v="29"/>
    <x v="27"/>
    <x v="34"/>
    <x v="34"/>
  </r>
  <r>
    <x v="0"/>
    <x v="0"/>
    <x v="98"/>
    <x v="75"/>
    <x v="0"/>
    <x v="0"/>
    <x v="0"/>
    <x v="0"/>
    <x v="16"/>
    <x v="46"/>
    <x v="49"/>
    <x v="37"/>
    <x v="37"/>
  </r>
  <r>
    <x v="0"/>
    <x v="0"/>
    <x v="99"/>
    <x v="108"/>
    <x v="91"/>
    <x v="91"/>
    <x v="26"/>
    <x v="0"/>
    <x v="35"/>
    <x v="70"/>
    <x v="72"/>
    <x v="120"/>
    <x v="120"/>
  </r>
  <r>
    <x v="0"/>
    <x v="0"/>
    <x v="99"/>
    <x v="108"/>
    <x v="10"/>
    <x v="11"/>
    <x v="0"/>
    <x v="0"/>
    <x v="6"/>
    <x v="2"/>
    <x v="2"/>
    <x v="14"/>
    <x v="14"/>
  </r>
  <r>
    <x v="0"/>
    <x v="0"/>
    <x v="100"/>
    <x v="105"/>
    <x v="63"/>
    <x v="61"/>
    <x v="17"/>
    <x v="16"/>
    <x v="32"/>
    <x v="42"/>
    <x v="35"/>
    <x v="83"/>
    <x v="83"/>
  </r>
  <r>
    <x v="0"/>
    <x v="0"/>
    <x v="100"/>
    <x v="105"/>
    <x v="157"/>
    <x v="161"/>
    <x v="81"/>
    <x v="44"/>
    <x v="32"/>
    <x v="31"/>
    <x v="29"/>
    <x v="188"/>
    <x v="188"/>
  </r>
  <r>
    <x v="0"/>
    <x v="0"/>
    <x v="100"/>
    <x v="105"/>
    <x v="0"/>
    <x v="0"/>
    <x v="0"/>
    <x v="0"/>
    <x v="0"/>
    <x v="3"/>
    <x v="0"/>
    <x v="1"/>
    <x v="1"/>
  </r>
  <r>
    <x v="1"/>
    <x v="1"/>
    <x v="101"/>
    <x v="39"/>
    <x v="1"/>
    <x v="1"/>
    <x v="0"/>
    <x v="0"/>
    <x v="7"/>
    <x v="9"/>
    <x v="10"/>
    <x v="20"/>
    <x v="20"/>
  </r>
  <r>
    <x v="1"/>
    <x v="1"/>
    <x v="102"/>
    <x v="16"/>
    <x v="58"/>
    <x v="55"/>
    <x v="43"/>
    <x v="30"/>
    <x v="16"/>
    <x v="123"/>
    <x v="67"/>
    <x v="84"/>
    <x v="84"/>
  </r>
  <r>
    <x v="1"/>
    <x v="1"/>
    <x v="102"/>
    <x v="16"/>
    <x v="107"/>
    <x v="108"/>
    <x v="64"/>
    <x v="43"/>
    <x v="29"/>
    <x v="136"/>
    <x v="111"/>
    <x v="142"/>
    <x v="142"/>
  </r>
  <r>
    <x v="0"/>
    <x v="0"/>
    <x v="103"/>
    <x v="76"/>
    <x v="204"/>
    <x v="200"/>
    <x v="150"/>
    <x v="0"/>
    <x v="68"/>
    <x v="131"/>
    <x v="116"/>
    <x v="236"/>
    <x v="236"/>
  </r>
  <r>
    <x v="0"/>
    <x v="0"/>
    <x v="103"/>
    <x v="76"/>
    <x v="217"/>
    <x v="219"/>
    <x v="95"/>
    <x v="0"/>
    <x v="62"/>
    <x v="111"/>
    <x v="109"/>
    <x v="250"/>
    <x v="250"/>
  </r>
  <r>
    <x v="0"/>
    <x v="0"/>
    <x v="103"/>
    <x v="76"/>
    <x v="206"/>
    <x v="206"/>
    <x v="139"/>
    <x v="0"/>
    <x v="63"/>
    <x v="106"/>
    <x v="107"/>
    <x v="238"/>
    <x v="238"/>
  </r>
  <r>
    <x v="0"/>
    <x v="0"/>
    <x v="104"/>
    <x v="79"/>
    <x v="8"/>
    <x v="9"/>
    <x v="0"/>
    <x v="0"/>
    <x v="65"/>
    <x v="88"/>
    <x v="79"/>
    <x v="110"/>
    <x v="110"/>
  </r>
  <r>
    <x v="0"/>
    <x v="0"/>
    <x v="104"/>
    <x v="79"/>
    <x v="36"/>
    <x v="36"/>
    <x v="1"/>
    <x v="0"/>
    <x v="61"/>
    <x v="80"/>
    <x v="78"/>
    <x v="103"/>
    <x v="103"/>
  </r>
  <r>
    <x v="0"/>
    <x v="0"/>
    <x v="104"/>
    <x v="79"/>
    <x v="5"/>
    <x v="4"/>
    <x v="0"/>
    <x v="0"/>
    <x v="64"/>
    <x v="75"/>
    <x v="80"/>
    <x v="105"/>
    <x v="105"/>
  </r>
  <r>
    <x v="0"/>
    <x v="0"/>
    <x v="105"/>
    <x v="107"/>
    <x v="135"/>
    <x v="143"/>
    <x v="34"/>
    <x v="0"/>
    <x v="39"/>
    <x v="47"/>
    <x v="50"/>
    <x v="165"/>
    <x v="165"/>
  </r>
  <r>
    <x v="0"/>
    <x v="0"/>
    <x v="105"/>
    <x v="107"/>
    <x v="10"/>
    <x v="11"/>
    <x v="0"/>
    <x v="0"/>
    <x v="6"/>
    <x v="1"/>
    <x v="1"/>
    <x v="13"/>
    <x v="13"/>
  </r>
  <r>
    <x v="0"/>
    <x v="0"/>
    <x v="106"/>
    <x v="129"/>
    <x v="101"/>
    <x v="95"/>
    <x v="36"/>
    <x v="0"/>
    <x v="16"/>
    <x v="109"/>
    <x v="102"/>
    <x v="130"/>
    <x v="130"/>
  </r>
  <r>
    <x v="0"/>
    <x v="0"/>
    <x v="106"/>
    <x v="129"/>
    <x v="173"/>
    <x v="176"/>
    <x v="91"/>
    <x v="0"/>
    <x v="12"/>
    <x v="129"/>
    <x v="120"/>
    <x v="202"/>
    <x v="202"/>
  </r>
  <r>
    <x v="0"/>
    <x v="0"/>
    <x v="106"/>
    <x v="129"/>
    <x v="124"/>
    <x v="124"/>
    <x v="63"/>
    <x v="0"/>
    <x v="13"/>
    <x v="125"/>
    <x v="122"/>
    <x v="155"/>
    <x v="155"/>
  </r>
  <r>
    <x v="1"/>
    <x v="1"/>
    <x v="107"/>
    <x v="8"/>
    <x v="56"/>
    <x v="56"/>
    <x v="8"/>
    <x v="1"/>
    <x v="20"/>
    <x v="13"/>
    <x v="12"/>
    <x v="65"/>
    <x v="65"/>
  </r>
  <r>
    <x v="1"/>
    <x v="1"/>
    <x v="107"/>
    <x v="8"/>
    <x v="142"/>
    <x v="144"/>
    <x v="58"/>
    <x v="16"/>
    <x v="29"/>
    <x v="133"/>
    <x v="105"/>
    <x v="176"/>
    <x v="176"/>
  </r>
  <r>
    <x v="0"/>
    <x v="0"/>
    <x v="108"/>
    <x v="120"/>
    <x v="7"/>
    <x v="7"/>
    <x v="0"/>
    <x v="0"/>
    <x v="38"/>
    <x v="45"/>
    <x v="37"/>
    <x v="50"/>
    <x v="50"/>
  </r>
  <r>
    <x v="0"/>
    <x v="0"/>
    <x v="109"/>
    <x v="121"/>
    <x v="2"/>
    <x v="2"/>
    <x v="0"/>
    <x v="0"/>
    <x v="50"/>
    <x v="47"/>
    <x v="38"/>
    <x v="57"/>
    <x v="57"/>
  </r>
  <r>
    <x v="0"/>
    <x v="0"/>
    <x v="109"/>
    <x v="121"/>
    <x v="0"/>
    <x v="0"/>
    <x v="0"/>
    <x v="0"/>
    <x v="7"/>
    <x v="1"/>
    <x v="1"/>
    <x v="7"/>
    <x v="7"/>
  </r>
  <r>
    <x v="0"/>
    <x v="0"/>
    <x v="110"/>
    <x v="90"/>
    <x v="128"/>
    <x v="127"/>
    <x v="87"/>
    <x v="0"/>
    <x v="30"/>
    <x v="80"/>
    <x v="77"/>
    <x v="159"/>
    <x v="159"/>
  </r>
  <r>
    <x v="0"/>
    <x v="0"/>
    <x v="110"/>
    <x v="90"/>
    <x v="61"/>
    <x v="60"/>
    <x v="11"/>
    <x v="0"/>
    <x v="26"/>
    <x v="31"/>
    <x v="29"/>
    <x v="78"/>
    <x v="78"/>
  </r>
  <r>
    <x v="0"/>
    <x v="0"/>
    <x v="110"/>
    <x v="90"/>
    <x v="129"/>
    <x v="129"/>
    <x v="68"/>
    <x v="0"/>
    <x v="40"/>
    <x v="78"/>
    <x v="80"/>
    <x v="161"/>
    <x v="161"/>
  </r>
  <r>
    <x v="0"/>
    <x v="0"/>
    <x v="111"/>
    <x v="91"/>
    <x v="13"/>
    <x v="14"/>
    <x v="0"/>
    <x v="0"/>
    <x v="0"/>
    <x v="50"/>
    <x v="46"/>
    <x v="30"/>
    <x v="30"/>
  </r>
  <r>
    <x v="0"/>
    <x v="0"/>
    <x v="111"/>
    <x v="91"/>
    <x v="37"/>
    <x v="37"/>
    <x v="1"/>
    <x v="0"/>
    <x v="0"/>
    <x v="23"/>
    <x v="23"/>
    <x v="44"/>
    <x v="44"/>
  </r>
  <r>
    <x v="0"/>
    <x v="0"/>
    <x v="111"/>
    <x v="91"/>
    <x v="9"/>
    <x v="4"/>
    <x v="3"/>
    <x v="0"/>
    <x v="0"/>
    <x v="48"/>
    <x v="49"/>
    <x v="29"/>
    <x v="29"/>
  </r>
  <r>
    <x v="1"/>
    <x v="1"/>
    <x v="112"/>
    <x v="13"/>
    <x v="53"/>
    <x v="52"/>
    <x v="18"/>
    <x v="2"/>
    <x v="2"/>
    <x v="107"/>
    <x v="36"/>
    <x v="77"/>
    <x v="77"/>
  </r>
  <r>
    <x v="1"/>
    <x v="1"/>
    <x v="113"/>
    <x v="14"/>
    <x v="83"/>
    <x v="81"/>
    <x v="45"/>
    <x v="3"/>
    <x v="2"/>
    <x v="140"/>
    <x v="61"/>
    <x v="116"/>
    <x v="116"/>
  </r>
  <r>
    <x v="1"/>
    <x v="1"/>
    <x v="113"/>
    <x v="14"/>
    <x v="35"/>
    <x v="35"/>
    <x v="12"/>
    <x v="1"/>
    <x v="7"/>
    <x v="15"/>
    <x v="14"/>
    <x v="33"/>
    <x v="33"/>
  </r>
  <r>
    <x v="0"/>
    <x v="0"/>
    <x v="114"/>
    <x v="127"/>
    <x v="102"/>
    <x v="101"/>
    <x v="52"/>
    <x v="19"/>
    <x v="28"/>
    <x v="103"/>
    <x v="103"/>
    <x v="133"/>
    <x v="133"/>
  </r>
  <r>
    <x v="1"/>
    <x v="1"/>
    <x v="115"/>
    <x v="53"/>
    <x v="31"/>
    <x v="29"/>
    <x v="12"/>
    <x v="2"/>
    <x v="33"/>
    <x v="106"/>
    <x v="47"/>
    <x v="68"/>
    <x v="68"/>
  </r>
  <r>
    <x v="1"/>
    <x v="1"/>
    <x v="116"/>
    <x v="45"/>
    <x v="12"/>
    <x v="13"/>
    <x v="0"/>
    <x v="0"/>
    <x v="7"/>
    <x v="5"/>
    <x v="5"/>
    <x v="17"/>
    <x v="17"/>
  </r>
  <r>
    <x v="1"/>
    <x v="1"/>
    <x v="117"/>
    <x v="33"/>
    <x v="70"/>
    <x v="73"/>
    <x v="4"/>
    <x v="0"/>
    <x v="3"/>
    <x v="76"/>
    <x v="83"/>
    <x v="90"/>
    <x v="90"/>
  </r>
  <r>
    <x v="1"/>
    <x v="1"/>
    <x v="117"/>
    <x v="33"/>
    <x v="95"/>
    <x v="92"/>
    <x v="37"/>
    <x v="0"/>
    <x v="5"/>
    <x v="89"/>
    <x v="81"/>
    <x v="121"/>
    <x v="121"/>
  </r>
  <r>
    <x v="1"/>
    <x v="1"/>
    <x v="118"/>
    <x v="40"/>
    <x v="60"/>
    <x v="62"/>
    <x v="36"/>
    <x v="0"/>
    <x v="7"/>
    <x v="19"/>
    <x v="20"/>
    <x v="72"/>
    <x v="72"/>
  </r>
  <r>
    <x v="0"/>
    <x v="0"/>
    <x v="119"/>
    <x v="101"/>
    <x v="195"/>
    <x v="193"/>
    <x v="146"/>
    <x v="12"/>
    <x v="52"/>
    <x v="157"/>
    <x v="137"/>
    <x v="226"/>
    <x v="226"/>
  </r>
  <r>
    <x v="0"/>
    <x v="0"/>
    <x v="119"/>
    <x v="101"/>
    <x v="187"/>
    <x v="190"/>
    <x v="97"/>
    <x v="11"/>
    <x v="36"/>
    <x v="134"/>
    <x v="124"/>
    <x v="220"/>
    <x v="220"/>
  </r>
  <r>
    <x v="0"/>
    <x v="0"/>
    <x v="119"/>
    <x v="101"/>
    <x v="196"/>
    <x v="194"/>
    <x v="140"/>
    <x v="7"/>
    <x v="43"/>
    <x v="147"/>
    <x v="135"/>
    <x v="228"/>
    <x v="228"/>
  </r>
  <r>
    <x v="1"/>
    <x v="1"/>
    <x v="120"/>
    <x v="29"/>
    <x v="89"/>
    <x v="87"/>
    <x v="72"/>
    <x v="51"/>
    <x v="31"/>
    <x v="141"/>
    <x v="62"/>
    <x v="123"/>
    <x v="123"/>
  </r>
  <r>
    <x v="1"/>
    <x v="1"/>
    <x v="121"/>
    <x v="32"/>
    <x v="0"/>
    <x v="0"/>
    <x v="0"/>
    <x v="0"/>
    <x v="7"/>
    <x v="0"/>
    <x v="0"/>
    <x v="5"/>
    <x v="5"/>
  </r>
  <r>
    <x v="1"/>
    <x v="1"/>
    <x v="121"/>
    <x v="32"/>
    <x v="0"/>
    <x v="0"/>
    <x v="0"/>
    <x v="0"/>
    <x v="7"/>
    <x v="0"/>
    <x v="0"/>
    <x v="5"/>
    <x v="5"/>
  </r>
  <r>
    <x v="0"/>
    <x v="0"/>
    <x v="122"/>
    <x v="113"/>
    <x v="134"/>
    <x v="142"/>
    <x v="32"/>
    <x v="0"/>
    <x v="29"/>
    <x v="63"/>
    <x v="70"/>
    <x v="163"/>
    <x v="163"/>
  </r>
  <r>
    <x v="0"/>
    <x v="0"/>
    <x v="122"/>
    <x v="113"/>
    <x v="10"/>
    <x v="11"/>
    <x v="0"/>
    <x v="0"/>
    <x v="4"/>
    <x v="2"/>
    <x v="2"/>
    <x v="12"/>
    <x v="12"/>
  </r>
  <r>
    <x v="1"/>
    <x v="1"/>
    <x v="123"/>
    <x v="12"/>
    <x v="24"/>
    <x v="25"/>
    <x v="1"/>
    <x v="0"/>
    <x v="0"/>
    <x v="1"/>
    <x v="1"/>
    <x v="18"/>
    <x v="18"/>
  </r>
  <r>
    <x v="1"/>
    <x v="1"/>
    <x v="124"/>
    <x v="10"/>
    <x v="132"/>
    <x v="140"/>
    <x v="69"/>
    <x v="0"/>
    <x v="29"/>
    <x v="104"/>
    <x v="103"/>
    <x v="164"/>
    <x v="164"/>
  </r>
  <r>
    <x v="0"/>
    <x v="0"/>
    <x v="125"/>
    <x v="119"/>
    <x v="1"/>
    <x v="1"/>
    <x v="0"/>
    <x v="0"/>
    <x v="48"/>
    <x v="20"/>
    <x v="19"/>
    <x v="47"/>
    <x v="47"/>
  </r>
  <r>
    <x v="1"/>
    <x v="1"/>
    <x v="126"/>
    <x v="30"/>
    <x v="125"/>
    <x v="128"/>
    <x v="46"/>
    <x v="8"/>
    <x v="12"/>
    <x v="76"/>
    <x v="61"/>
    <x v="154"/>
    <x v="154"/>
  </r>
  <r>
    <x v="1"/>
    <x v="1"/>
    <x v="126"/>
    <x v="30"/>
    <x v="0"/>
    <x v="0"/>
    <x v="0"/>
    <x v="0"/>
    <x v="0"/>
    <x v="4"/>
    <x v="4"/>
    <x v="2"/>
    <x v="2"/>
  </r>
  <r>
    <x v="1"/>
    <x v="1"/>
    <x v="126"/>
    <x v="30"/>
    <x v="186"/>
    <x v="191"/>
    <x v="85"/>
    <x v="38"/>
    <x v="31"/>
    <x v="90"/>
    <x v="76"/>
    <x v="216"/>
    <x v="216"/>
  </r>
  <r>
    <x v="1"/>
    <x v="1"/>
    <x v="127"/>
    <x v="23"/>
    <x v="159"/>
    <x v="160"/>
    <x v="99"/>
    <x v="17"/>
    <x v="2"/>
    <x v="78"/>
    <x v="63"/>
    <x v="190"/>
    <x v="190"/>
  </r>
  <r>
    <x v="1"/>
    <x v="1"/>
    <x v="127"/>
    <x v="23"/>
    <x v="158"/>
    <x v="152"/>
    <x v="114"/>
    <x v="40"/>
    <x v="4"/>
    <x v="94"/>
    <x v="79"/>
    <x v="189"/>
    <x v="189"/>
  </r>
  <r>
    <x v="1"/>
    <x v="1"/>
    <x v="127"/>
    <x v="23"/>
    <x v="54"/>
    <x v="53"/>
    <x v="26"/>
    <x v="9"/>
    <x v="2"/>
    <x v="18"/>
    <x v="17"/>
    <x v="63"/>
    <x v="63"/>
  </r>
  <r>
    <x v="0"/>
    <x v="0"/>
    <x v="128"/>
    <x v="86"/>
    <x v="212"/>
    <x v="209"/>
    <x v="155"/>
    <x v="0"/>
    <x v="14"/>
    <x v="115"/>
    <x v="106"/>
    <x v="242"/>
    <x v="242"/>
  </r>
  <r>
    <x v="0"/>
    <x v="0"/>
    <x v="128"/>
    <x v="86"/>
    <x v="198"/>
    <x v="204"/>
    <x v="90"/>
    <x v="0"/>
    <x v="14"/>
    <x v="70"/>
    <x v="72"/>
    <x v="229"/>
    <x v="229"/>
  </r>
  <r>
    <x v="0"/>
    <x v="0"/>
    <x v="128"/>
    <x v="86"/>
    <x v="216"/>
    <x v="215"/>
    <x v="144"/>
    <x v="0"/>
    <x v="14"/>
    <x v="105"/>
    <x v="105"/>
    <x v="247"/>
    <x v="247"/>
  </r>
  <r>
    <x v="0"/>
    <x v="0"/>
    <x v="129"/>
    <x v="83"/>
    <x v="117"/>
    <x v="115"/>
    <x v="71"/>
    <x v="2"/>
    <x v="22"/>
    <x v="51"/>
    <x v="41"/>
    <x v="149"/>
    <x v="149"/>
  </r>
  <r>
    <x v="0"/>
    <x v="0"/>
    <x v="129"/>
    <x v="83"/>
    <x v="28"/>
    <x v="31"/>
    <x v="7"/>
    <x v="1"/>
    <x v="16"/>
    <x v="8"/>
    <x v="9"/>
    <x v="23"/>
    <x v="23"/>
  </r>
  <r>
    <x v="0"/>
    <x v="0"/>
    <x v="129"/>
    <x v="83"/>
    <x v="139"/>
    <x v="136"/>
    <x v="66"/>
    <x v="3"/>
    <x v="22"/>
    <x v="96"/>
    <x v="95"/>
    <x v="169"/>
    <x v="169"/>
  </r>
  <r>
    <x v="0"/>
    <x v="0"/>
    <x v="130"/>
    <x v="89"/>
    <x v="219"/>
    <x v="210"/>
    <x v="161"/>
    <x v="0"/>
    <x v="27"/>
    <x v="142"/>
    <x v="128"/>
    <x v="248"/>
    <x v="248"/>
  </r>
  <r>
    <x v="0"/>
    <x v="0"/>
    <x v="130"/>
    <x v="89"/>
    <x v="115"/>
    <x v="118"/>
    <x v="20"/>
    <x v="0"/>
    <x v="29"/>
    <x v="28"/>
    <x v="26"/>
    <x v="147"/>
    <x v="147"/>
  </r>
  <r>
    <x v="0"/>
    <x v="0"/>
    <x v="130"/>
    <x v="89"/>
    <x v="215"/>
    <x v="213"/>
    <x v="137"/>
    <x v="1"/>
    <x v="44"/>
    <x v="146"/>
    <x v="134"/>
    <x v="246"/>
    <x v="246"/>
  </r>
  <r>
    <x v="1"/>
    <x v="1"/>
    <x v="131"/>
    <x v="15"/>
    <x v="191"/>
    <x v="188"/>
    <x v="126"/>
    <x v="20"/>
    <x v="17"/>
    <x v="115"/>
    <x v="93"/>
    <x v="221"/>
    <x v="221"/>
  </r>
  <r>
    <x v="1"/>
    <x v="1"/>
    <x v="131"/>
    <x v="15"/>
    <x v="189"/>
    <x v="185"/>
    <x v="130"/>
    <x v="27"/>
    <x v="14"/>
    <x v="122"/>
    <x v="98"/>
    <x v="218"/>
    <x v="218"/>
  </r>
  <r>
    <x v="1"/>
    <x v="1"/>
    <x v="131"/>
    <x v="15"/>
    <x v="88"/>
    <x v="89"/>
    <x v="27"/>
    <x v="5"/>
    <x v="9"/>
    <x v="27"/>
    <x v="24"/>
    <x v="108"/>
    <x v="108"/>
  </r>
  <r>
    <x v="0"/>
    <x v="0"/>
    <x v="132"/>
    <x v="57"/>
    <x v="27"/>
    <x v="26"/>
    <x v="9"/>
    <x v="12"/>
    <x v="16"/>
    <x v="21"/>
    <x v="20"/>
    <x v="40"/>
    <x v="40"/>
  </r>
  <r>
    <x v="0"/>
    <x v="0"/>
    <x v="132"/>
    <x v="57"/>
    <x v="77"/>
    <x v="75"/>
    <x v="31"/>
    <x v="24"/>
    <x v="22"/>
    <x v="26"/>
    <x v="25"/>
    <x v="93"/>
    <x v="93"/>
  </r>
  <r>
    <x v="0"/>
    <x v="0"/>
    <x v="133"/>
    <x v="84"/>
    <x v="210"/>
    <x v="205"/>
    <x v="157"/>
    <x v="0"/>
    <x v="12"/>
    <x v="148"/>
    <x v="130"/>
    <x v="240"/>
    <x v="240"/>
  </r>
  <r>
    <x v="0"/>
    <x v="0"/>
    <x v="133"/>
    <x v="84"/>
    <x v="99"/>
    <x v="103"/>
    <x v="20"/>
    <x v="0"/>
    <x v="12"/>
    <x v="16"/>
    <x v="18"/>
    <x v="118"/>
    <x v="118"/>
  </r>
  <r>
    <x v="0"/>
    <x v="0"/>
    <x v="133"/>
    <x v="84"/>
    <x v="207"/>
    <x v="207"/>
    <x v="135"/>
    <x v="0"/>
    <x v="12"/>
    <x v="119"/>
    <x v="118"/>
    <x v="235"/>
    <x v="235"/>
  </r>
  <r>
    <x v="0"/>
    <x v="0"/>
    <x v="134"/>
    <x v="54"/>
    <x v="222"/>
    <x v="216"/>
    <x v="154"/>
    <x v="24"/>
    <x v="54"/>
    <x v="91"/>
    <x v="85"/>
    <x v="253"/>
    <x v="253"/>
  </r>
  <r>
    <x v="0"/>
    <x v="0"/>
    <x v="134"/>
    <x v="54"/>
    <x v="221"/>
    <x v="222"/>
    <x v="119"/>
    <x v="36"/>
    <x v="51"/>
    <x v="59"/>
    <x v="59"/>
    <x v="251"/>
    <x v="251"/>
  </r>
  <r>
    <x v="0"/>
    <x v="0"/>
    <x v="134"/>
    <x v="54"/>
    <x v="224"/>
    <x v="220"/>
    <x v="148"/>
    <x v="27"/>
    <x v="54"/>
    <x v="110"/>
    <x v="111"/>
    <x v="255"/>
    <x v="255"/>
  </r>
  <r>
    <x v="0"/>
    <x v="0"/>
    <x v="135"/>
    <x v="56"/>
    <x v="2"/>
    <x v="2"/>
    <x v="0"/>
    <x v="0"/>
    <x v="54"/>
    <x v="53"/>
    <x v="45"/>
    <x v="66"/>
    <x v="66"/>
  </r>
  <r>
    <x v="0"/>
    <x v="0"/>
    <x v="135"/>
    <x v="56"/>
    <x v="19"/>
    <x v="20"/>
    <x v="1"/>
    <x v="0"/>
    <x v="51"/>
    <x v="36"/>
    <x v="34"/>
    <x v="61"/>
    <x v="61"/>
  </r>
  <r>
    <x v="0"/>
    <x v="0"/>
    <x v="135"/>
    <x v="56"/>
    <x v="1"/>
    <x v="1"/>
    <x v="0"/>
    <x v="0"/>
    <x v="54"/>
    <x v="84"/>
    <x v="82"/>
    <x v="70"/>
    <x v="70"/>
  </r>
  <r>
    <x v="0"/>
    <x v="0"/>
    <x v="136"/>
    <x v="96"/>
    <x v="192"/>
    <x v="188"/>
    <x v="143"/>
    <x v="0"/>
    <x v="26"/>
    <x v="115"/>
    <x v="110"/>
    <x v="223"/>
    <x v="223"/>
  </r>
  <r>
    <x v="0"/>
    <x v="0"/>
    <x v="136"/>
    <x v="96"/>
    <x v="131"/>
    <x v="138"/>
    <x v="32"/>
    <x v="0"/>
    <x v="23"/>
    <x v="62"/>
    <x v="61"/>
    <x v="160"/>
    <x v="160"/>
  </r>
  <r>
    <x v="0"/>
    <x v="0"/>
    <x v="136"/>
    <x v="96"/>
    <x v="190"/>
    <x v="186"/>
    <x v="128"/>
    <x v="0"/>
    <x v="20"/>
    <x v="102"/>
    <x v="103"/>
    <x v="219"/>
    <x v="219"/>
  </r>
  <r>
    <x v="0"/>
    <x v="0"/>
    <x v="137"/>
    <x v="97"/>
    <x v="1"/>
    <x v="1"/>
    <x v="0"/>
    <x v="0"/>
    <x v="0"/>
    <x v="93"/>
    <x v="91"/>
    <x v="43"/>
    <x v="43"/>
  </r>
  <r>
    <x v="0"/>
    <x v="0"/>
    <x v="137"/>
    <x v="97"/>
    <x v="18"/>
    <x v="19"/>
    <x v="1"/>
    <x v="0"/>
    <x v="0"/>
    <x v="37"/>
    <x v="36"/>
    <x v="32"/>
    <x v="32"/>
  </r>
  <r>
    <x v="0"/>
    <x v="0"/>
    <x v="137"/>
    <x v="97"/>
    <x v="3"/>
    <x v="2"/>
    <x v="0"/>
    <x v="0"/>
    <x v="0"/>
    <x v="84"/>
    <x v="84"/>
    <x v="39"/>
    <x v="39"/>
  </r>
  <r>
    <x v="0"/>
    <x v="0"/>
    <x v="138"/>
    <x v="103"/>
    <x v="48"/>
    <x v="50"/>
    <x v="1"/>
    <x v="0"/>
    <x v="25"/>
    <x v="54"/>
    <x v="48"/>
    <x v="72"/>
    <x v="72"/>
  </r>
  <r>
    <x v="0"/>
    <x v="0"/>
    <x v="138"/>
    <x v="103"/>
    <x v="3"/>
    <x v="3"/>
    <x v="0"/>
    <x v="0"/>
    <x v="7"/>
    <x v="1"/>
    <x v="1"/>
    <x v="10"/>
    <x v="10"/>
  </r>
  <r>
    <x v="0"/>
    <x v="0"/>
    <x v="139"/>
    <x v="116"/>
    <x v="20"/>
    <x v="21"/>
    <x v="3"/>
    <x v="0"/>
    <x v="29"/>
    <x v="45"/>
    <x v="43"/>
    <x v="49"/>
    <x v="49"/>
  </r>
  <r>
    <x v="1"/>
    <x v="1"/>
    <x v="140"/>
    <x v="50"/>
    <x v="180"/>
    <x v="180"/>
    <x v="116"/>
    <x v="0"/>
    <x v="29"/>
    <x v="115"/>
    <x v="74"/>
    <x v="212"/>
    <x v="212"/>
  </r>
  <r>
    <x v="1"/>
    <x v="1"/>
    <x v="140"/>
    <x v="50"/>
    <x v="178"/>
    <x v="175"/>
    <x v="125"/>
    <x v="0"/>
    <x v="33"/>
    <x v="105"/>
    <x v="89"/>
    <x v="206"/>
    <x v="206"/>
  </r>
  <r>
    <x v="1"/>
    <x v="1"/>
    <x v="140"/>
    <x v="50"/>
    <x v="74"/>
    <x v="75"/>
    <x v="10"/>
    <x v="0"/>
    <x v="20"/>
    <x v="34"/>
    <x v="26"/>
    <x v="92"/>
    <x v="92"/>
  </r>
  <r>
    <x v="1"/>
    <x v="1"/>
    <x v="141"/>
    <x v="42"/>
    <x v="44"/>
    <x v="44"/>
    <x v="14"/>
    <x v="3"/>
    <x v="29"/>
    <x v="41"/>
    <x v="40"/>
    <x v="65"/>
    <x v="65"/>
  </r>
  <r>
    <x v="1"/>
    <x v="1"/>
    <x v="141"/>
    <x v="42"/>
    <x v="143"/>
    <x v="137"/>
    <x v="78"/>
    <x v="26"/>
    <x v="16"/>
    <x v="91"/>
    <x v="51"/>
    <x v="174"/>
    <x v="174"/>
  </r>
  <r>
    <x v="1"/>
    <x v="1"/>
    <x v="141"/>
    <x v="42"/>
    <x v="140"/>
    <x v="133"/>
    <x v="89"/>
    <x v="21"/>
    <x v="53"/>
    <x v="127"/>
    <x v="109"/>
    <x v="178"/>
    <x v="178"/>
  </r>
  <r>
    <x v="1"/>
    <x v="1"/>
    <x v="141"/>
    <x v="42"/>
    <x v="33"/>
    <x v="33"/>
    <x v="13"/>
    <x v="3"/>
    <x v="25"/>
    <x v="14"/>
    <x v="16"/>
    <x v="42"/>
    <x v="4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4" cacheId="1" dataOnRows="0" dataCaption="Values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0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E148" firstHeaderRow="1" firstDataRow="2" firstDataCol="1" rowPageCount="1" colPageCount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44">
        <item t="data" sd="1" x="2"/>
        <item t="data" sd="1" x="3"/>
        <item t="data" sd="1" x="0"/>
        <item t="data" sd="1" x="1"/>
        <item t="data" sd="1" x="4"/>
        <item t="data" sd="1" x="5"/>
        <item t="data" sd="1" x="6"/>
        <item t="data" sd="1" x="7"/>
        <item t="data" sd="1" x="8"/>
        <item t="data" sd="1" x="10"/>
        <item t="data" sd="1" x="9"/>
        <item t="data" sd="1" x="11"/>
        <item t="data" sd="1" x="12"/>
        <item t="data" sd="1" x="13"/>
        <item t="data" sd="1" x="17"/>
        <item t="data" sd="1" x="14"/>
        <item t="data" sd="1" x="15"/>
        <item t="data" sd="1" x="16"/>
        <item t="data" sd="1" x="18"/>
        <item t="data" sd="1" x="19"/>
        <item t="data" sd="1" x="20"/>
        <item t="data" sd="1" x="22"/>
        <item t="data" sd="1" x="23"/>
        <item t="data" sd="1" x="24"/>
        <item t="data" sd="1" x="21"/>
        <item t="data" sd="1" x="25"/>
        <item t="data" sd="1" x="26"/>
        <item t="data" sd="1" x="27"/>
        <item t="data" sd="1" x="28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29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14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44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data" r="0" i="0">
      <x v="101"/>
    </i>
    <i t="data" r="0" i="0">
      <x v="102"/>
    </i>
    <i t="data" r="0" i="0">
      <x v="103"/>
    </i>
    <i t="data" r="0" i="0">
      <x v="104"/>
    </i>
    <i t="data" r="0" i="0">
      <x v="105"/>
    </i>
    <i t="data" r="0" i="0">
      <x v="106"/>
    </i>
    <i t="data" r="0" i="0">
      <x v="107"/>
    </i>
    <i t="data" r="0" i="0">
      <x v="108"/>
    </i>
    <i t="data" r="0" i="0">
      <x v="109"/>
    </i>
    <i t="data" r="0" i="0">
      <x v="110"/>
    </i>
    <i t="data" r="0" i="0">
      <x v="111"/>
    </i>
    <i t="data" r="0" i="0">
      <x v="112"/>
    </i>
    <i t="data" r="0" i="0">
      <x v="113"/>
    </i>
    <i t="data" r="0" i="0">
      <x v="114"/>
    </i>
    <i t="data" r="0" i="0">
      <x v="115"/>
    </i>
    <i t="data" r="0" i="0">
      <x v="116"/>
    </i>
    <i t="data" r="0" i="0">
      <x v="117"/>
    </i>
    <i t="data" r="0" i="0">
      <x v="118"/>
    </i>
    <i t="data" r="0" i="0">
      <x v="119"/>
    </i>
    <i t="data" r="0" i="0">
      <x v="120"/>
    </i>
    <i t="data" r="0" i="0">
      <x v="121"/>
    </i>
    <i t="data" r="0" i="0">
      <x v="122"/>
    </i>
    <i t="data" r="0" i="0">
      <x v="123"/>
    </i>
    <i t="data" r="0" i="0">
      <x v="124"/>
    </i>
    <i t="data" r="0" i="0">
      <x v="125"/>
    </i>
    <i t="data" r="0" i="0">
      <x v="126"/>
    </i>
    <i t="data" r="0" i="0">
      <x v="127"/>
    </i>
    <i t="data" r="0" i="0">
      <x v="128"/>
    </i>
    <i t="data" r="0" i="0">
      <x v="129"/>
    </i>
    <i t="data" r="0" i="0">
      <x v="130"/>
    </i>
    <i t="data" r="0" i="0">
      <x v="131"/>
    </i>
    <i t="data" r="0" i="0">
      <x v="132"/>
    </i>
    <i t="data" r="0" i="0">
      <x v="133"/>
    </i>
    <i t="data" r="0" i="0">
      <x v="134"/>
    </i>
    <i t="data" r="0" i="0">
      <x v="135"/>
    </i>
    <i t="data" r="0" i="0">
      <x v="136"/>
    </i>
    <i t="data" r="0" i="0">
      <x v="137"/>
    </i>
    <i t="data" r="0" i="0">
      <x v="138"/>
    </i>
    <i t="data" r="0" i="0">
      <x v="139"/>
    </i>
    <i t="data" r="0" i="0">
      <x v="140"/>
    </i>
    <i t="data" r="0" i="0">
      <x v="141"/>
    </i>
    <i t="data" r="0" i="0">
      <x v="142"/>
    </i>
    <i t="grand" r="0" i="0">
      <x v="143"/>
    </i>
  </rowItems>
  <colFields count="1">
    <field x="1"/>
  </colFields>
  <colItems count="4">
    <i t="data" r="0" i="0">
      <x v="0"/>
    </i>
    <i t="data" r="0" i="0">
      <x v="1"/>
    </i>
    <i t="data" r="0" i="0">
      <x v="2"/>
    </i>
    <i t="grand" r="0" i="0">
      <x v="3"/>
    </i>
  </colItems>
  <pageFields count="1">
    <pageField fld="3" hier="-1"/>
  </pageFields>
  <dataFields count="1">
    <dataField name="Sum of TOT/MM" fld="12" subtotal="sum" showDataAs="normal" baseField="-1" baseItem="1048832" numFmtId="165"/>
  </dataFields>
  <formats count="9">
    <format action="formatting" dxfId="3">
      <pivotArea type="normal" dataOnly="1" outline="1" fieldPosition="0">
        <references count="1">
          <reference field="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</reference>
        </references>
      </pivotArea>
    </format>
    <format action="formatting" dxfId="4">
      <pivotArea type="normal" dataOnly="1" outline="0" fieldPosition="0"/>
    </format>
    <format action="formatting" dxfId="5">
      <pivotArea type="normal" dataOnly="0" labelOnly="1" outline="0" fieldPosition="0"/>
    </format>
    <format action="formatting" dxfId="6">
      <pivotArea type="normal" dataOnly="0" labelOnly="1" outline="1" fieldPosition="0">
        <references count="1">
          <reference field="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action="formatting" dxfId="7">
      <pivotArea type="normal" dataOnly="0" labelOnly="1" outline="1" fieldPosition="0">
        <references count="1">
          <reference field="2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action="formatting" dxfId="8">
      <pivotArea type="normal" dataOnly="0" labelOnly="1" outline="1" fieldPosition="0">
        <references count="1">
          <reference field="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</reference>
        </references>
      </pivotArea>
    </format>
    <format action="formatting" dxfId="9">
      <pivotArea type="normal" dataOnly="0" labelOnly="1" outline="0" fieldPosition="0"/>
    </format>
    <format action="formatting" dxfId="10">
      <pivotArea type="normal" dataOnly="0" labelOnly="1" outline="1" fieldPosition="0">
        <references count="1">
          <reference field="1"/>
        </references>
      </pivotArea>
    </format>
    <format action="formatting" dxfId="11">
      <pivotArea type="normal" dataOnly="0" labelOnly="1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50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G17" activeCellId="0" sqref="G17"/>
    </sheetView>
  </sheetViews>
  <sheetFormatPr baseColWidth="8" defaultColWidth="8.79296875" defaultRowHeight="14.25" customHeight="0" zeroHeight="0" outlineLevelRow="0"/>
  <cols>
    <col width="8.630000000000001" customWidth="1" style="109" min="1" max="1"/>
    <col width="8.09" customWidth="1" style="109" min="2" max="2"/>
    <col width="24.37" customWidth="1" style="110" min="3" max="3"/>
    <col width="11.27" customWidth="1" style="109" min="4" max="4"/>
    <col width="14.27" customWidth="1" style="109" min="5" max="5"/>
    <col width="11.27" customWidth="1" style="109" min="6" max="6"/>
    <col width="60.73" customWidth="1" style="109" min="7" max="7"/>
    <col width="22.37" customWidth="1" style="109" min="8" max="8"/>
    <col width="8.720000000000001" customWidth="1" style="109" min="9" max="9"/>
    <col hidden="1" width="13.63" customWidth="1" style="109" min="10" max="10"/>
    <col hidden="1" width="13.48" customWidth="1" style="109" min="11" max="11"/>
    <col width="11.09" customWidth="1" style="111" min="12" max="12"/>
    <col width="11.82" customWidth="1" style="112" min="13" max="13"/>
    <col width="14.63" customWidth="1" style="109" min="14" max="14"/>
  </cols>
  <sheetData>
    <row r="1" ht="57.75" customHeight="1" s="113">
      <c r="A1" s="114" t="inlineStr">
        <is>
          <t>LOB</t>
        </is>
      </c>
      <c r="B1" s="114" t="inlineStr">
        <is>
          <t>Rgt/Cal/QC/Cons</t>
        </is>
      </c>
      <c r="C1" s="114" t="inlineStr">
        <is>
          <t>Lotto 1 - Area Siero</t>
        </is>
      </c>
      <c r="D1" s="114" t="inlineStr">
        <is>
          <t>Assay name</t>
        </is>
      </c>
      <c r="E1" s="114" t="inlineStr">
        <is>
          <t>LN ABBOTT</t>
        </is>
      </c>
      <c r="F1" s="114" t="inlineStr">
        <is>
          <t>LN ABBOTT AGGIORNATI</t>
        </is>
      </c>
      <c r="G1" s="114" t="inlineStr">
        <is>
          <t>Descrizione commerciale</t>
        </is>
      </c>
      <c r="H1" s="114" t="inlineStr">
        <is>
          <t>KIT</t>
        </is>
      </c>
      <c r="I1" s="114" t="inlineStr">
        <is>
          <t>Conf.to</t>
        </is>
      </c>
      <c r="J1" s="114" t="inlineStr">
        <is>
          <t>Test (tot) medi/mm ALINK</t>
        </is>
      </c>
      <c r="K1" s="114" t="n"/>
      <c r="L1" s="114" t="inlineStr">
        <is>
          <t>Test TOT MEDI/MESE Aggiustati</t>
        </is>
      </c>
      <c r="M1" s="114" t="inlineStr">
        <is>
          <t># Kit/Mese</t>
        </is>
      </c>
    </row>
    <row r="2" ht="14.25" customHeight="1" s="113">
      <c r="A2" s="115">
        <f>IF(_xlfn.NUMBERVALUE(SEARCH("Alinity c",G2)),"CC","IA")</f>
        <v/>
      </c>
      <c r="B2" s="115" t="inlineStr">
        <is>
          <t>RGT</t>
        </is>
      </c>
      <c r="C2" s="116" t="inlineStr">
        <is>
          <t>ACIDI BILIARI</t>
        </is>
      </c>
      <c r="D2" s="117" t="inlineStr">
        <is>
          <t>Bile Acids</t>
        </is>
      </c>
      <c r="E2" s="115" t="inlineStr">
        <is>
          <t>8P5722</t>
        </is>
      </c>
      <c r="F2" s="118" t="n"/>
      <c r="G2" s="115" t="inlineStr">
        <is>
          <t>Alinity c Acidi biliari Reagente</t>
        </is>
      </c>
      <c r="H2" s="115" t="n">
        <v>200</v>
      </c>
      <c r="I2" s="115" t="inlineStr">
        <is>
          <t>4x50</t>
        </is>
      </c>
      <c r="J2" s="119">
        <f>VLOOKUP(D2,[1]Sheet2!$A$5:$E$146,5,FALSE())</f>
        <v/>
      </c>
      <c r="K2" s="115" t="n"/>
      <c r="L2" s="116" t="n">
        <v>200</v>
      </c>
      <c r="M2" s="120">
        <f>L2/H2</f>
        <v/>
      </c>
    </row>
    <row r="3" ht="14.25" customHeight="1" s="113">
      <c r="A3" s="115">
        <f>IF(_xlfn.NUMBERVALUE(SEARCH("Alinity c",G3)),"CC","IA")</f>
        <v/>
      </c>
      <c r="B3" s="115" t="inlineStr">
        <is>
          <t>RGT</t>
        </is>
      </c>
      <c r="C3" s="116" t="inlineStr">
        <is>
          <t>ACIDO LATTICO</t>
        </is>
      </c>
      <c r="D3" s="117" t="n"/>
      <c r="E3" s="115" t="inlineStr">
        <is>
          <t>4U2620</t>
        </is>
      </c>
      <c r="F3" s="118" t="n"/>
      <c r="G3" s="115" t="inlineStr">
        <is>
          <t>Alinity c Acido Lattico Reagente</t>
        </is>
      </c>
      <c r="H3" s="115" t="n">
        <v>400</v>
      </c>
      <c r="I3" s="115" t="inlineStr">
        <is>
          <t>4x100</t>
        </is>
      </c>
      <c r="J3" s="119">
        <f>VLOOKUP(D3,[1]Sheet2!$A$5:$E$146,5,FALSE())</f>
        <v/>
      </c>
      <c r="K3" s="115" t="n"/>
      <c r="L3" s="121" t="inlineStr">
        <is>
          <t>…</t>
        </is>
      </c>
      <c r="M3" s="122" t="inlineStr">
        <is>
          <t>….</t>
        </is>
      </c>
    </row>
    <row r="4" ht="14.25" customHeight="1" s="113">
      <c r="A4" s="115">
        <f>IF(_xlfn.NUMBERVALUE(SEARCH("Alinity c",G4)),"CC","IA")</f>
        <v/>
      </c>
      <c r="B4" s="115" t="inlineStr">
        <is>
          <t>RGT</t>
        </is>
      </c>
      <c r="C4" s="116" t="inlineStr">
        <is>
          <t>ACIDO VALPROICO</t>
        </is>
      </c>
      <c r="D4" s="117" t="inlineStr">
        <is>
          <t>Valproic</t>
        </is>
      </c>
      <c r="E4" s="115" t="inlineStr">
        <is>
          <t>9P9220</t>
        </is>
      </c>
      <c r="F4" s="118" t="n"/>
      <c r="G4" s="115" t="inlineStr">
        <is>
          <t>Alinity c Acido Valproico Reagente</t>
        </is>
      </c>
      <c r="H4" s="115" t="n">
        <v>200</v>
      </c>
      <c r="I4" s="115" t="inlineStr">
        <is>
          <t>2x100</t>
        </is>
      </c>
      <c r="J4" s="119">
        <f>VLOOKUP(D4,[1]Sheet2!$A$5:$E$146,5,FALSE())</f>
        <v/>
      </c>
      <c r="K4" s="115" t="n"/>
      <c r="L4" s="116" t="n">
        <v>200</v>
      </c>
      <c r="M4" s="120">
        <f>L4/H4</f>
        <v/>
      </c>
    </row>
    <row r="5" ht="14.25" customHeight="1" s="113">
      <c r="A5" s="115">
        <f>IF(_xlfn.NUMBERVALUE(SEARCH("Alinity c",G5)),"CC","IA")</f>
        <v/>
      </c>
      <c r="B5" s="115" t="inlineStr">
        <is>
          <t>RGT</t>
        </is>
      </c>
      <c r="C5" s="116" t="inlineStr">
        <is>
          <t>ALBUMINA</t>
        </is>
      </c>
      <c r="D5" s="123" t="n"/>
      <c r="E5" s="124" t="n"/>
      <c r="F5" s="118" t="n"/>
      <c r="G5" s="123" t="inlineStr">
        <is>
          <t>Alinity c Albumina BCG 2 Reagente</t>
        </is>
      </c>
      <c r="H5" s="123" t="n">
        <v>3120</v>
      </c>
      <c r="I5" s="123" t="inlineStr">
        <is>
          <t>4x780</t>
        </is>
      </c>
      <c r="J5" s="125" t="n"/>
      <c r="K5" s="123" t="n"/>
      <c r="L5" s="126" t="n"/>
      <c r="M5" s="127" t="n"/>
    </row>
    <row r="6" ht="14.25" customHeight="1" s="113">
      <c r="A6" s="115">
        <f>IF(_xlfn.NUMBERVALUE(SEARCH("Alinity c",G6)),"CC","IA")</f>
        <v/>
      </c>
      <c r="B6" s="115" t="inlineStr">
        <is>
          <t>RGT</t>
        </is>
      </c>
      <c r="C6" s="128" t="n"/>
      <c r="D6" s="117" t="inlineStr">
        <is>
          <t>AlbBCG2</t>
        </is>
      </c>
      <c r="E6" s="115" t="inlineStr">
        <is>
          <t>4U3020</t>
        </is>
      </c>
      <c r="F6" s="118" t="n"/>
      <c r="G6" s="115" t="inlineStr">
        <is>
          <t>Alinity c Albumina BCG 2 Reagente</t>
        </is>
      </c>
      <c r="H6" s="115" t="n">
        <v>1044</v>
      </c>
      <c r="I6" s="115" t="inlineStr">
        <is>
          <t>4x261</t>
        </is>
      </c>
      <c r="J6" s="119">
        <f>VLOOKUP(D6,[1]Sheet2!$A$5:$E$146,5,FALSE())</f>
        <v/>
      </c>
      <c r="K6" s="115" t="n"/>
      <c r="L6" s="116" t="n">
        <v>2000</v>
      </c>
      <c r="M6" s="120">
        <f>L6/H6</f>
        <v/>
      </c>
    </row>
    <row r="7" ht="14.25" customHeight="1" s="113">
      <c r="A7" s="115">
        <f>IF(_xlfn.NUMBERVALUE(SEARCH("Alinity c",G7)),"CC","IA")</f>
        <v/>
      </c>
      <c r="B7" s="115" t="inlineStr">
        <is>
          <t>RGT</t>
        </is>
      </c>
      <c r="C7" s="116" t="inlineStr">
        <is>
          <t>ALBUMINA URINARIA</t>
        </is>
      </c>
      <c r="D7" s="117" t="inlineStr">
        <is>
          <t>Microalb</t>
        </is>
      </c>
      <c r="E7" s="115" t="inlineStr">
        <is>
          <t>8P0424</t>
        </is>
      </c>
      <c r="F7" s="118" t="n"/>
      <c r="G7" s="115" t="inlineStr">
        <is>
          <t>Alinity c Microalbumina Reagente</t>
        </is>
      </c>
      <c r="H7" s="115" t="n">
        <v>640</v>
      </c>
      <c r="I7" s="115" t="inlineStr">
        <is>
          <t>2x320</t>
        </is>
      </c>
      <c r="J7" s="119">
        <f>VLOOKUP(D7,[1]Sheet2!$A$5:$E$146,5,FALSE())</f>
        <v/>
      </c>
      <c r="K7" s="115" t="n"/>
      <c r="L7" s="116" t="n">
        <v>1900</v>
      </c>
      <c r="M7" s="120">
        <f>L7/H7</f>
        <v/>
      </c>
    </row>
    <row r="8" ht="14.25" customHeight="1" s="113">
      <c r="A8" s="115">
        <f>IF(_xlfn.NUMBERVALUE(SEARCH("Alinity c",G8)),"CC","IA")</f>
        <v/>
      </c>
      <c r="B8" s="115" t="inlineStr">
        <is>
          <t>RGT</t>
        </is>
      </c>
      <c r="C8" s="116" t="inlineStr">
        <is>
          <t>ALCOLEMIA</t>
        </is>
      </c>
      <c r="D8" s="117" t="inlineStr">
        <is>
          <t>Ethanol</t>
        </is>
      </c>
      <c r="E8" s="115" t="inlineStr">
        <is>
          <t>8P4130</t>
        </is>
      </c>
      <c r="F8" s="118" t="n"/>
      <c r="G8" s="115" t="inlineStr">
        <is>
          <t>Alinity c Etanolo Reagente</t>
        </is>
      </c>
      <c r="H8" s="115" t="n">
        <v>400</v>
      </c>
      <c r="I8" s="115" t="inlineStr">
        <is>
          <t>4x100</t>
        </is>
      </c>
      <c r="J8" s="119">
        <f>VLOOKUP(D8,[1]Sheet2!$A$5:$E$146,5,FALSE())</f>
        <v/>
      </c>
      <c r="K8" s="115" t="n"/>
      <c r="L8" s="116" t="n">
        <v>300</v>
      </c>
      <c r="M8" s="120">
        <f>L8/H8</f>
        <v/>
      </c>
    </row>
    <row r="9" ht="14.25" customHeight="1" s="113">
      <c r="A9" s="115">
        <f>IF(_xlfn.NUMBERVALUE(SEARCH("Alinity c",G9)),"CC","IA")</f>
        <v/>
      </c>
      <c r="B9" s="115" t="inlineStr">
        <is>
          <t>RGT</t>
        </is>
      </c>
      <c r="C9" s="116" t="inlineStr">
        <is>
          <t>ALFA-1-ANTITRIPSINA</t>
        </is>
      </c>
      <c r="D9" s="117" t="inlineStr">
        <is>
          <t>a1AT</t>
        </is>
      </c>
      <c r="E9" s="115" t="inlineStr">
        <is>
          <t>1R0720</t>
        </is>
      </c>
      <c r="F9" s="118" t="n"/>
      <c r="G9" s="115" t="inlineStr">
        <is>
          <t>Alinity c Alfa-1 Antitripsina Reagente</t>
        </is>
      </c>
      <c r="H9" s="115" t="n">
        <v>200</v>
      </c>
      <c r="I9" s="115" t="inlineStr">
        <is>
          <t>2x100</t>
        </is>
      </c>
      <c r="J9" s="119">
        <f>VLOOKUP(D9,[1]Sheet2!$A$5:$E$146,5,FALSE())</f>
        <v/>
      </c>
      <c r="K9" s="115" t="n"/>
      <c r="L9" s="116" t="n">
        <v>150</v>
      </c>
      <c r="M9" s="120">
        <f>L9/H9</f>
        <v/>
      </c>
    </row>
    <row r="10" ht="14.25" customHeight="1" s="113">
      <c r="A10" s="115">
        <f>IF(_xlfn.NUMBERVALUE(SEARCH("Alinity c",G10)),"CC","IA")</f>
        <v/>
      </c>
      <c r="B10" s="115" t="inlineStr">
        <is>
          <t>RGT</t>
        </is>
      </c>
      <c r="C10" s="116" t="inlineStr">
        <is>
          <t>ALFA-1-GLIC. ACIDA</t>
        </is>
      </c>
      <c r="D10" s="117" t="inlineStr">
        <is>
          <t>a1AGP</t>
        </is>
      </c>
      <c r="E10" s="115" t="inlineStr">
        <is>
          <t>1R0820</t>
        </is>
      </c>
      <c r="F10" s="118" t="n"/>
      <c r="G10" s="115" t="inlineStr">
        <is>
          <t>Alinity c Alfa-1 Glicoproteina Reagente</t>
        </is>
      </c>
      <c r="H10" s="115" t="n">
        <v>200</v>
      </c>
      <c r="I10" s="115" t="inlineStr">
        <is>
          <t>2x100</t>
        </is>
      </c>
      <c r="J10" s="119">
        <f>VLOOKUP(D10,[1]Sheet2!$A$5:$E$146,5,FALSE())</f>
        <v/>
      </c>
      <c r="K10" s="115" t="n"/>
      <c r="L10" s="116" t="n">
        <v>150</v>
      </c>
      <c r="M10" s="120">
        <f>L10/H10</f>
        <v/>
      </c>
    </row>
    <row r="11" ht="14.25" customHeight="1" s="113">
      <c r="A11" s="115" t="inlineStr">
        <is>
          <t>IA</t>
        </is>
      </c>
      <c r="B11" s="115" t="inlineStr">
        <is>
          <t>RGT</t>
        </is>
      </c>
      <c r="C11" s="116" t="inlineStr">
        <is>
          <t>ALFA-FETOPROTEINA</t>
        </is>
      </c>
      <c r="D11" s="117" t="inlineStr">
        <is>
          <t>AFP</t>
        </is>
      </c>
      <c r="E11" s="115" t="inlineStr">
        <is>
          <t>7P9020</t>
        </is>
      </c>
      <c r="F11" s="118" t="n"/>
      <c r="G11" s="115" t="inlineStr">
        <is>
          <t>Alinity i AFP Reagente</t>
        </is>
      </c>
      <c r="H11" s="115" t="n">
        <v>200</v>
      </c>
      <c r="I11" s="115" t="inlineStr">
        <is>
          <t>2x100</t>
        </is>
      </c>
      <c r="J11" s="119">
        <f>VLOOKUP(D11,[1]Sheet2!$A$5:$E$146,5,FALSE())</f>
        <v/>
      </c>
      <c r="K11" s="115" t="n"/>
      <c r="L11" s="116" t="n">
        <v>500</v>
      </c>
      <c r="M11" s="120">
        <f>L11/H11</f>
        <v/>
      </c>
    </row>
    <row r="12" ht="14.25" customHeight="1" s="113">
      <c r="A12" s="115">
        <f>IF(_xlfn.NUMBERVALUE(SEARCH("Alinity c",G12)),"CC","IA")</f>
        <v/>
      </c>
      <c r="B12" s="115" t="inlineStr">
        <is>
          <t>RGT</t>
        </is>
      </c>
      <c r="C12" s="116" t="inlineStr">
        <is>
          <t>AMFETAMINA su Urina</t>
        </is>
      </c>
      <c r="D12" s="117" t="inlineStr">
        <is>
          <t>AmpSQ</t>
        </is>
      </c>
      <c r="E12" s="115" t="inlineStr">
        <is>
          <t>9P4520</t>
        </is>
      </c>
      <c r="F12" s="118" t="n"/>
      <c r="G12" s="115" t="inlineStr">
        <is>
          <t>Alinity c Anfetamina/Metanfetamine Reagente</t>
        </is>
      </c>
      <c r="H12" s="115" t="n">
        <v>400</v>
      </c>
      <c r="I12" s="115" t="inlineStr">
        <is>
          <t>2x200</t>
        </is>
      </c>
      <c r="J12" s="119">
        <f>VLOOKUP(D12,[1]Sheet2!$A$5:$E$146,5,FALSE())</f>
        <v/>
      </c>
      <c r="K12" s="115" t="n"/>
      <c r="L12" s="116" t="n">
        <v>400</v>
      </c>
      <c r="M12" s="120">
        <f>L12/H12</f>
        <v/>
      </c>
    </row>
    <row r="13" ht="14.25" customHeight="1" s="113">
      <c r="A13" s="123" t="inlineStr">
        <is>
          <t>IA</t>
        </is>
      </c>
      <c r="B13" s="123" t="inlineStr">
        <is>
          <t>RGT</t>
        </is>
      </c>
      <c r="C13" s="129" t="inlineStr">
        <is>
          <t>AMH ° - NON RICHIESTO</t>
        </is>
      </c>
      <c r="D13" s="124" t="n"/>
      <c r="E13" s="130" t="n"/>
      <c r="F13" s="130" t="n"/>
      <c r="G13" s="123" t="n"/>
      <c r="H13" s="130" t="n"/>
      <c r="I13" s="130" t="n"/>
      <c r="J13" s="131" t="n"/>
      <c r="K13" s="130" t="n"/>
      <c r="L13" s="124" t="n"/>
      <c r="M13" s="132" t="n"/>
    </row>
    <row r="14" ht="14.25" customHeight="1" s="113">
      <c r="A14" s="115">
        <f>IF(_xlfn.NUMBERVALUE(SEARCH("Alinity c",G14)),"CC","IA")</f>
        <v/>
      </c>
      <c r="B14" s="115" t="inlineStr">
        <is>
          <t>RGT</t>
        </is>
      </c>
      <c r="C14" s="116" t="inlineStr">
        <is>
          <t>AMILASI</t>
        </is>
      </c>
      <c r="D14" s="117" t="inlineStr">
        <is>
          <t>AMY2F</t>
        </is>
      </c>
      <c r="E14" s="115" t="inlineStr">
        <is>
          <t>4T8520</t>
        </is>
      </c>
      <c r="F14" s="118" t="n"/>
      <c r="G14" s="115" t="inlineStr">
        <is>
          <t>Alinity c Amilasi 2 Reagente</t>
        </is>
      </c>
      <c r="H14" s="115" t="n">
        <v>640</v>
      </c>
      <c r="I14" s="115" t="inlineStr">
        <is>
          <t>4x160</t>
        </is>
      </c>
      <c r="J14" s="119">
        <f>VLOOKUP(D14,[1]Sheet2!$A$5:$E$146,5,FALSE())</f>
        <v/>
      </c>
      <c r="K14" s="115" t="n"/>
      <c r="L14" s="116" t="n">
        <v>1500</v>
      </c>
      <c r="M14" s="120">
        <f>L14/H14</f>
        <v/>
      </c>
    </row>
    <row r="15" ht="14.25" customHeight="1" s="113">
      <c r="A15" s="133">
        <f>IF(_xlfn.NUMBERVALUE(SEARCH("Alinity c",G15)),"CC","IA")</f>
        <v/>
      </c>
      <c r="B15" s="133" t="inlineStr">
        <is>
          <t>RGT</t>
        </is>
      </c>
      <c r="C15" s="116" t="inlineStr">
        <is>
          <t>AMILASI PANCREATICA</t>
        </is>
      </c>
      <c r="D15" s="134" t="inlineStr">
        <is>
          <t>P Amylase</t>
        </is>
      </c>
      <c r="E15" s="133" t="inlineStr">
        <is>
          <t>1R0422</t>
        </is>
      </c>
      <c r="F15" s="118" t="n"/>
      <c r="G15" s="133" t="inlineStr">
        <is>
          <t>Alinity c Amilasi Pancreatica Reagente</t>
        </is>
      </c>
      <c r="H15" s="133" t="n">
        <v>200</v>
      </c>
      <c r="I15" s="133" t="inlineStr">
        <is>
          <t>2x100</t>
        </is>
      </c>
      <c r="J15" s="119">
        <f>VLOOKUP(D15,[1]Sheet2!$A$5:$E$146,5,FALSE())</f>
        <v/>
      </c>
      <c r="K15" s="133" t="n"/>
      <c r="L15" s="116" t="n">
        <v>3500</v>
      </c>
      <c r="M15" s="135">
        <f>L15/H15</f>
        <v/>
      </c>
    </row>
    <row r="16" ht="14.25" customHeight="1" s="113">
      <c r="A16" s="115">
        <f>IF(_xlfn.NUMBERVALUE(SEARCH("Alinity c",G16)),"CC","IA")</f>
        <v/>
      </c>
      <c r="B16" s="115" t="inlineStr">
        <is>
          <t>RGT</t>
        </is>
      </c>
      <c r="C16" s="116" t="inlineStr">
        <is>
          <t>AMMONIEMIA</t>
        </is>
      </c>
      <c r="D16" s="117" t="inlineStr">
        <is>
          <t>Ammonia</t>
        </is>
      </c>
      <c r="E16" s="115" t="inlineStr">
        <is>
          <t>8P2220</t>
        </is>
      </c>
      <c r="F16" s="118" t="n"/>
      <c r="G16" s="115" t="inlineStr">
        <is>
          <t>Alinity c Ammonio Reagente</t>
        </is>
      </c>
      <c r="H16" s="115" t="n">
        <v>200</v>
      </c>
      <c r="I16" s="115" t="inlineStr">
        <is>
          <t>2x100</t>
        </is>
      </c>
      <c r="J16" s="119">
        <f>VLOOKUP(D16,[1]Sheet2!$A$5:$E$146,5,FALSE())</f>
        <v/>
      </c>
      <c r="K16" s="115" t="n"/>
      <c r="L16" s="116" t="n">
        <v>400</v>
      </c>
      <c r="M16" s="120">
        <f>L16/H16</f>
        <v/>
      </c>
    </row>
    <row r="17" ht="14.25" customFormat="1" customHeight="1" s="136">
      <c r="A17" s="137" t="inlineStr">
        <is>
          <t>IA</t>
        </is>
      </c>
      <c r="B17" s="137" t="inlineStr">
        <is>
          <t>RGT</t>
        </is>
      </c>
      <c r="C17" s="121" t="inlineStr">
        <is>
          <t>ANTI HCV</t>
        </is>
      </c>
      <c r="D17" s="138" t="inlineStr">
        <is>
          <t>Anti-HCVII</t>
        </is>
      </c>
      <c r="E17" s="139" t="inlineStr">
        <is>
          <t>8P0633</t>
        </is>
      </c>
      <c r="F17" s="137" t="inlineStr">
        <is>
          <t>06T7932</t>
        </is>
      </c>
      <c r="G17" s="137" t="inlineStr">
        <is>
          <t>Alinity i Anti-HCV Reagente--&gt; HCV Next</t>
        </is>
      </c>
      <c r="H17" s="137" t="n">
        <v>1000</v>
      </c>
      <c r="I17" s="137" t="inlineStr">
        <is>
          <t>2x500</t>
        </is>
      </c>
      <c r="J17" s="119">
        <f>VLOOKUP(D17,[1]Sheet2!$A$5:$E$146,5,FALSE())</f>
        <v/>
      </c>
      <c r="K17" s="137" t="n"/>
      <c r="L17" s="121" t="n">
        <v>2000</v>
      </c>
      <c r="M17" s="140">
        <f>L17/H17</f>
        <v/>
      </c>
    </row>
    <row r="18" ht="14.25" customHeight="1" s="113">
      <c r="A18" s="115" t="inlineStr">
        <is>
          <t>IA</t>
        </is>
      </c>
      <c r="B18" s="115" t="inlineStr">
        <is>
          <t>RGT</t>
        </is>
      </c>
      <c r="C18" s="128" t="n"/>
      <c r="D18" s="124" t="n"/>
      <c r="E18" s="124" t="n"/>
      <c r="F18" s="124" t="n"/>
      <c r="G18" s="123" t="inlineStr">
        <is>
          <t>Alinity i Anti-HCV Reagente</t>
        </is>
      </c>
      <c r="H18" s="123" t="n">
        <v>200</v>
      </c>
      <c r="I18" s="123" t="inlineStr">
        <is>
          <t>2x100</t>
        </is>
      </c>
      <c r="J18" s="141" t="n"/>
      <c r="K18" s="123" t="n"/>
      <c r="L18" s="124" t="n"/>
      <c r="M18" s="132" t="n"/>
    </row>
    <row r="19" ht="14.25" customHeight="1" s="113">
      <c r="A19" s="133" t="inlineStr">
        <is>
          <t>IA</t>
        </is>
      </c>
      <c r="B19" s="133" t="inlineStr">
        <is>
          <t>RGT</t>
        </is>
      </c>
      <c r="C19" s="116" t="inlineStr">
        <is>
          <t>ANTI- TIREOGLOBULINA</t>
        </is>
      </c>
      <c r="D19" s="134" t="inlineStr">
        <is>
          <t>Anti-Tg</t>
        </is>
      </c>
      <c r="E19" s="133" t="inlineStr">
        <is>
          <t>9P3420</t>
        </is>
      </c>
      <c r="F19" s="118" t="n"/>
      <c r="G19" s="133" t="inlineStr">
        <is>
          <t>Alinity i Anti Tg Reagente</t>
        </is>
      </c>
      <c r="H19" s="133" t="n">
        <v>200</v>
      </c>
      <c r="I19" s="133" t="inlineStr">
        <is>
          <t>2x100</t>
        </is>
      </c>
      <c r="J19" s="119">
        <f>VLOOKUP(D19,[1]Sheet2!$A$5:$E$146,5,FALSE())</f>
        <v/>
      </c>
      <c r="K19" s="133" t="n"/>
      <c r="L19" s="116" t="n">
        <v>900</v>
      </c>
      <c r="M19" s="135">
        <f>L19/H19</f>
        <v/>
      </c>
    </row>
    <row r="20" ht="14.25" customHeight="1" s="113">
      <c r="A20" s="133" t="inlineStr">
        <is>
          <t>IA</t>
        </is>
      </c>
      <c r="B20" s="133" t="inlineStr">
        <is>
          <t>RGT</t>
        </is>
      </c>
      <c r="C20" s="116" t="inlineStr">
        <is>
          <t>ANTI-PEROSSIDASI</t>
        </is>
      </c>
      <c r="D20" s="134" t="inlineStr">
        <is>
          <t>Anti-TPO</t>
        </is>
      </c>
      <c r="E20" s="133" t="inlineStr">
        <is>
          <t>9P3522</t>
        </is>
      </c>
      <c r="F20" s="118" t="n"/>
      <c r="G20" s="133" t="inlineStr">
        <is>
          <t>Alinity i Anti TPO Reagente</t>
        </is>
      </c>
      <c r="H20" s="133" t="n">
        <v>200</v>
      </c>
      <c r="I20" s="133" t="inlineStr">
        <is>
          <t>2x100</t>
        </is>
      </c>
      <c r="J20" s="119">
        <f>VLOOKUP(D20,[1]Sheet2!$A$5:$E$146,5,FALSE())</f>
        <v/>
      </c>
      <c r="K20" s="133" t="n"/>
      <c r="L20" s="116" t="n">
        <v>900</v>
      </c>
      <c r="M20" s="135">
        <f>L20/H20</f>
        <v/>
      </c>
    </row>
    <row r="21" ht="14.25" customHeight="1" s="113">
      <c r="A21" s="115">
        <f>IF(_xlfn.NUMBERVALUE(SEARCH("Alinity c",G21)),"CC","IA")</f>
        <v/>
      </c>
      <c r="B21" s="115" t="inlineStr">
        <is>
          <t>RGT</t>
        </is>
      </c>
      <c r="C21" s="116" t="inlineStr">
        <is>
          <t>APOLIPOPROT A</t>
        </is>
      </c>
      <c r="D21" s="117" t="inlineStr">
        <is>
          <t>APOA1</t>
        </is>
      </c>
      <c r="E21" s="115" t="inlineStr">
        <is>
          <t>9P4624</t>
        </is>
      </c>
      <c r="F21" s="118" t="n"/>
      <c r="G21" s="115" t="inlineStr">
        <is>
          <t>Alinity c Apolipoproteina A1 Reagente</t>
        </is>
      </c>
      <c r="H21" s="115" t="n">
        <v>190</v>
      </c>
      <c r="I21" s="115" t="inlineStr">
        <is>
          <t>2x95</t>
        </is>
      </c>
      <c r="J21" s="119">
        <f>VLOOKUP(D21,[1]Sheet2!$A$5:$E$146,5,FALSE())</f>
        <v/>
      </c>
      <c r="K21" s="115" t="n"/>
      <c r="L21" s="116" t="n">
        <v>150</v>
      </c>
      <c r="M21" s="120">
        <f>L21/H21</f>
        <v/>
      </c>
    </row>
    <row r="22" ht="14.25" customHeight="1" s="113">
      <c r="A22" s="115">
        <f>IF(_xlfn.NUMBERVALUE(SEARCH("Alinity c",G22)),"CC","IA")</f>
        <v/>
      </c>
      <c r="B22" s="115" t="inlineStr">
        <is>
          <t>RGT</t>
        </is>
      </c>
      <c r="C22" s="116" t="inlineStr">
        <is>
          <t>APOLIPOPROT B</t>
        </is>
      </c>
      <c r="D22" s="117" t="inlineStr">
        <is>
          <t>APOB</t>
        </is>
      </c>
      <c r="E22" s="115" t="inlineStr">
        <is>
          <t>9P4724</t>
        </is>
      </c>
      <c r="F22" s="118" t="n"/>
      <c r="G22" s="115" t="inlineStr">
        <is>
          <t>Alinity c Apolipoproteina B Reagente</t>
        </is>
      </c>
      <c r="H22" s="115" t="n">
        <v>190</v>
      </c>
      <c r="I22" s="115" t="inlineStr">
        <is>
          <t>2x95</t>
        </is>
      </c>
      <c r="J22" s="119">
        <f>VLOOKUP(D22,[1]Sheet2!$A$5:$E$146,5,FALSE())</f>
        <v/>
      </c>
      <c r="K22" s="115" t="n"/>
      <c r="L22" s="116" t="n">
        <v>200</v>
      </c>
      <c r="M22" s="120">
        <f>L22/H22</f>
        <v/>
      </c>
    </row>
    <row r="23" ht="14.25" customHeight="1" s="113">
      <c r="A23" s="115">
        <f>IF(_xlfn.NUMBERVALUE(SEARCH("Alinity c",G23)),"CC","IA")</f>
        <v/>
      </c>
      <c r="B23" s="115" t="inlineStr">
        <is>
          <t>RGT</t>
        </is>
      </c>
      <c r="C23" s="116" t="inlineStr">
        <is>
          <t>APTOGLOBINA</t>
        </is>
      </c>
      <c r="D23" s="117" t="inlineStr">
        <is>
          <t>Haptoglob</t>
        </is>
      </c>
      <c r="E23" s="115" t="inlineStr">
        <is>
          <t>9P5924</t>
        </is>
      </c>
      <c r="F23" s="118" t="n"/>
      <c r="G23" s="115" t="inlineStr">
        <is>
          <t>Alinity c Aptoglobina Reagente</t>
        </is>
      </c>
      <c r="H23" s="115" t="n">
        <v>180</v>
      </c>
      <c r="I23" s="115" t="inlineStr">
        <is>
          <t>2x90</t>
        </is>
      </c>
      <c r="J23" s="119">
        <f>VLOOKUP(D23,[1]Sheet2!$A$5:$E$146,5,FALSE())</f>
        <v/>
      </c>
      <c r="K23" s="115" t="n"/>
      <c r="L23" s="116" t="n">
        <v>200</v>
      </c>
      <c r="M23" s="120">
        <f>L23/H23</f>
        <v/>
      </c>
    </row>
    <row r="24" ht="14.25" customHeight="1" s="113">
      <c r="A24" s="115">
        <f>IF(_xlfn.NUMBERVALUE(SEARCH("Alinity c",G24)),"CC","IA")</f>
        <v/>
      </c>
      <c r="B24" s="115" t="inlineStr">
        <is>
          <t>RGT</t>
        </is>
      </c>
      <c r="C24" s="116" t="inlineStr">
        <is>
          <t>AZOTEMIA</t>
        </is>
      </c>
      <c r="D24" s="117" t="inlineStr">
        <is>
          <t>Urea/UreaU</t>
        </is>
      </c>
      <c r="E24" s="115" t="inlineStr">
        <is>
          <t>8P1630</t>
        </is>
      </c>
      <c r="F24" s="118" t="n"/>
      <c r="G24" s="115" t="inlineStr">
        <is>
          <t>Alinity c Azoto Ureico Reagente</t>
        </is>
      </c>
      <c r="H24" s="115" t="n">
        <v>13000</v>
      </c>
      <c r="I24" s="115" t="inlineStr">
        <is>
          <t>10x1300</t>
        </is>
      </c>
      <c r="J24" s="119" t="n">
        <v>13800</v>
      </c>
      <c r="K24" s="115" t="n"/>
      <c r="L24" s="116" t="n">
        <v>15000</v>
      </c>
      <c r="M24" s="120">
        <f>L24/H24</f>
        <v/>
      </c>
    </row>
    <row r="25" ht="14.25" customHeight="1" s="113">
      <c r="A25" s="115">
        <f>IF(_xlfn.NUMBERVALUE(SEARCH("Alinity c",G25)),"CC","IA")</f>
        <v/>
      </c>
      <c r="B25" s="115" t="inlineStr">
        <is>
          <t>RGT</t>
        </is>
      </c>
      <c r="C25" s="128" t="n"/>
      <c r="D25" s="124" t="n"/>
      <c r="E25" s="124" t="n"/>
      <c r="F25" s="124" t="n"/>
      <c r="G25" s="123" t="inlineStr">
        <is>
          <t>Alinity c Azoto Ureico Reagente</t>
        </is>
      </c>
      <c r="H25" s="123" t="n">
        <v>4000</v>
      </c>
      <c r="I25" s="123" t="inlineStr">
        <is>
          <t>10x400</t>
        </is>
      </c>
      <c r="J25" s="141" t="n"/>
      <c r="K25" s="123" t="n"/>
      <c r="L25" s="124" t="n"/>
      <c r="M25" s="132" t="n"/>
    </row>
    <row r="26" ht="14.25" customHeight="1" s="113">
      <c r="A26" s="115">
        <f>IF(_xlfn.NUMBERVALUE(SEARCH("Alinity c",G26)),"CC","IA")</f>
        <v/>
      </c>
      <c r="B26" s="115" t="inlineStr">
        <is>
          <t>RGT</t>
        </is>
      </c>
      <c r="C26" s="116" t="inlineStr">
        <is>
          <t>BENZODIAZEPINE (U)</t>
        </is>
      </c>
      <c r="D26" s="117" t="inlineStr">
        <is>
          <t>BenzSQ</t>
        </is>
      </c>
      <c r="E26" s="115" t="inlineStr">
        <is>
          <t>9P5220</t>
        </is>
      </c>
      <c r="F26" s="118" t="n"/>
      <c r="G26" s="115" t="inlineStr">
        <is>
          <t>Alinity c Benzodiazepine Reagente</t>
        </is>
      </c>
      <c r="H26" s="115" t="n">
        <v>500</v>
      </c>
      <c r="I26" s="115" t="inlineStr">
        <is>
          <t>2x250</t>
        </is>
      </c>
      <c r="J26" s="119">
        <f>VLOOKUP(D26,[1]Sheet2!$A$5:$E$146,5,FALSE())</f>
        <v/>
      </c>
      <c r="K26" s="115" t="n"/>
      <c r="L26" s="116" t="n">
        <v>500</v>
      </c>
      <c r="M26" s="120">
        <f>L26/H26</f>
        <v/>
      </c>
    </row>
    <row r="27" ht="14.25" customHeight="1" s="113">
      <c r="A27" s="115" t="inlineStr">
        <is>
          <t>IA</t>
        </is>
      </c>
      <c r="B27" s="115" t="inlineStr">
        <is>
          <t>RGT</t>
        </is>
      </c>
      <c r="C27" s="116" t="inlineStr">
        <is>
          <t>Beta HCG</t>
        </is>
      </c>
      <c r="D27" s="134" t="inlineStr">
        <is>
          <t>B-hCG</t>
        </is>
      </c>
      <c r="E27" s="115" t="inlineStr">
        <is>
          <t>7P5120</t>
        </is>
      </c>
      <c r="F27" s="118" t="n"/>
      <c r="G27" s="115" t="inlineStr">
        <is>
          <t>Alinity i Total β-hCG Reagente</t>
        </is>
      </c>
      <c r="H27" s="115" t="n">
        <v>200</v>
      </c>
      <c r="I27" s="115" t="inlineStr">
        <is>
          <t>2x100</t>
        </is>
      </c>
      <c r="J27" s="119">
        <f>VLOOKUP(D27,[1]Sheet2!$A$5:$E$146,5,FALSE())</f>
        <v/>
      </c>
      <c r="K27" s="115" t="n"/>
      <c r="L27" s="116" t="n">
        <v>600</v>
      </c>
      <c r="M27" s="120">
        <f>L27/H27</f>
        <v/>
      </c>
    </row>
    <row r="28" ht="14.25" customHeight="1" s="113">
      <c r="A28" s="115">
        <f>IF(_xlfn.NUMBERVALUE(SEARCH("Alinity c",G28)),"CC","IA")</f>
        <v/>
      </c>
      <c r="B28" s="115" t="inlineStr">
        <is>
          <t>RGT</t>
        </is>
      </c>
      <c r="C28" s="116" t="inlineStr">
        <is>
          <t>BETA2-MICROGLOBULINA</t>
        </is>
      </c>
      <c r="D28" s="117" t="inlineStr">
        <is>
          <t>B2M</t>
        </is>
      </c>
      <c r="E28" s="115" t="inlineStr">
        <is>
          <t>1R0920</t>
        </is>
      </c>
      <c r="F28" s="118" t="n"/>
      <c r="G28" s="115" t="inlineStr">
        <is>
          <t>Alinity c B2-Microglobulina Reagente</t>
        </is>
      </c>
      <c r="H28" s="115" t="n">
        <v>200</v>
      </c>
      <c r="I28" s="115" t="inlineStr">
        <is>
          <t>2x100</t>
        </is>
      </c>
      <c r="J28" s="119">
        <f>VLOOKUP(D28,[1]Sheet2!$A$5:$E$146,5,FALSE())</f>
        <v/>
      </c>
      <c r="K28" s="115" t="n"/>
      <c r="L28" s="116" t="n">
        <v>400</v>
      </c>
      <c r="M28" s="120">
        <f>L28/H28</f>
        <v/>
      </c>
    </row>
    <row r="29" ht="14.25" customHeight="1" s="113">
      <c r="A29" s="133">
        <f>IF(_xlfn.NUMBERVALUE(SEARCH("Alinity c",G29)),"CC","IA")</f>
        <v/>
      </c>
      <c r="B29" s="133" t="inlineStr">
        <is>
          <t>RGT</t>
        </is>
      </c>
      <c r="C29" s="116" t="inlineStr">
        <is>
          <t>BILIRUBINA DIRETTA</t>
        </is>
      </c>
      <c r="D29" s="134" t="inlineStr">
        <is>
          <t>Bili D</t>
        </is>
      </c>
      <c r="E29" s="133" t="inlineStr">
        <is>
          <t>7P9720</t>
        </is>
      </c>
      <c r="F29" s="118" t="n"/>
      <c r="G29" s="133" t="inlineStr">
        <is>
          <t>Alinity c Bilirubina Diretta Reagente</t>
        </is>
      </c>
      <c r="H29" s="133" t="n">
        <v>1440</v>
      </c>
      <c r="I29" s="133" t="inlineStr">
        <is>
          <t>4x360</t>
        </is>
      </c>
      <c r="J29" s="119">
        <f>VLOOKUP(D29,[1]Sheet2!$A$5:$E$146,5,FALSE())</f>
        <v/>
      </c>
      <c r="K29" s="133" t="n"/>
      <c r="L29" s="116" t="n">
        <v>10000</v>
      </c>
      <c r="M29" s="135">
        <f>L29/H29</f>
        <v/>
      </c>
    </row>
    <row r="30" ht="14.25" customHeight="1" s="113">
      <c r="A30" s="115">
        <f>IF(_xlfn.NUMBERVALUE(SEARCH("Alinity c",G30)),"CC","IA")</f>
        <v/>
      </c>
      <c r="B30" s="115" t="inlineStr">
        <is>
          <t>RGT</t>
        </is>
      </c>
      <c r="C30" s="116" t="inlineStr">
        <is>
          <t>BILIRUBINA TOTALE</t>
        </is>
      </c>
      <c r="D30" s="117" t="inlineStr">
        <is>
          <t>TBili2</t>
        </is>
      </c>
      <c r="E30" s="115" t="inlineStr">
        <is>
          <t>4U0520</t>
        </is>
      </c>
      <c r="F30" s="118" t="n"/>
      <c r="G30" s="115" t="inlineStr">
        <is>
          <t>Alinity c Bilirubina Totale 2 Reagente</t>
        </is>
      </c>
      <c r="H30" s="115" t="n">
        <v>3500</v>
      </c>
      <c r="I30" s="115" t="inlineStr">
        <is>
          <t>10x350</t>
        </is>
      </c>
      <c r="J30" s="119">
        <f>VLOOKUP(D30,[1]Sheet2!$A$5:$E$146,5,FALSE())</f>
        <v/>
      </c>
      <c r="K30" s="115" t="n"/>
      <c r="L30" s="116" t="n">
        <v>10000</v>
      </c>
      <c r="M30" s="120">
        <f>L30/H30</f>
        <v/>
      </c>
    </row>
    <row r="31" ht="14.25" customHeight="1" s="113">
      <c r="A31" s="115" t="inlineStr">
        <is>
          <t>IA</t>
        </is>
      </c>
      <c r="B31" s="115" t="inlineStr">
        <is>
          <t>RGT</t>
        </is>
      </c>
      <c r="C31" s="116" t="inlineStr">
        <is>
          <t>BNP/NT-proBNP</t>
        </is>
      </c>
      <c r="D31" s="117" t="inlineStr">
        <is>
          <t>BNP</t>
        </is>
      </c>
      <c r="E31" s="115" t="inlineStr">
        <is>
          <t>8P2430</t>
        </is>
      </c>
      <c r="F31" s="118" t="n"/>
      <c r="G31" s="115" t="inlineStr">
        <is>
          <t>Alinity i BNP Reagente</t>
        </is>
      </c>
      <c r="H31" s="115" t="n">
        <v>1000</v>
      </c>
      <c r="I31" s="115" t="inlineStr">
        <is>
          <t>2x500</t>
        </is>
      </c>
      <c r="J31" s="119">
        <f>VLOOKUP(D31,[1]Sheet2!$A$5:$E$146,5,FALSE())</f>
        <v/>
      </c>
      <c r="K31" s="115" t="n"/>
      <c r="L31" s="116" t="n">
        <v>1800</v>
      </c>
      <c r="M31" s="120">
        <f>L31/H31</f>
        <v/>
      </c>
    </row>
    <row r="32" ht="14.25" customHeight="1" s="113">
      <c r="A32" s="115" t="inlineStr">
        <is>
          <t>IA</t>
        </is>
      </c>
      <c r="B32" s="115" t="inlineStr">
        <is>
          <t>RGT</t>
        </is>
      </c>
      <c r="C32" s="128" t="n"/>
      <c r="D32" s="124" t="n"/>
      <c r="E32" s="124" t="n"/>
      <c r="F32" s="124" t="n"/>
      <c r="G32" s="123" t="inlineStr">
        <is>
          <t>Alinity i BNP Reagente</t>
        </is>
      </c>
      <c r="H32" s="123" t="n">
        <v>200</v>
      </c>
      <c r="I32" s="123" t="inlineStr">
        <is>
          <t>2x100</t>
        </is>
      </c>
      <c r="J32" s="141" t="n"/>
      <c r="K32" s="123" t="n"/>
      <c r="L32" s="124" t="n"/>
      <c r="M32" s="132" t="n"/>
    </row>
    <row r="33" ht="14.25" customHeight="1" s="113">
      <c r="A33" s="115">
        <f>IF(_xlfn.NUMBERVALUE(SEARCH("Alinity c",G33)),"CC","IA")</f>
        <v/>
      </c>
      <c r="B33" s="115" t="inlineStr">
        <is>
          <t>RGT</t>
        </is>
      </c>
      <c r="C33" s="116" t="inlineStr">
        <is>
          <t>BUPRENORFINA (U)</t>
        </is>
      </c>
      <c r="D33" s="117" t="inlineStr">
        <is>
          <t>BUP SQ</t>
        </is>
      </c>
      <c r="E33" s="115" t="inlineStr">
        <is>
          <t>4Z4220</t>
        </is>
      </c>
      <c r="F33" s="118" t="n"/>
      <c r="G33" s="115" t="inlineStr">
        <is>
          <t>Alinity c Buprenorfina Reagente</t>
        </is>
      </c>
      <c r="H33" s="115" t="n">
        <v>200</v>
      </c>
      <c r="I33" s="115" t="inlineStr">
        <is>
          <t>1x200</t>
        </is>
      </c>
      <c r="J33" s="119">
        <f>VLOOKUP(D33,[1]Sheet2!$A$5:$E$146,5,FALSE())</f>
        <v/>
      </c>
      <c r="K33" s="115" t="n"/>
      <c r="L33" s="116" t="n">
        <v>300</v>
      </c>
      <c r="M33" s="120">
        <f>L33/H33</f>
        <v/>
      </c>
    </row>
    <row r="34" ht="14.25" customHeight="1" s="113">
      <c r="A34" s="115" t="inlineStr">
        <is>
          <t>IA</t>
        </is>
      </c>
      <c r="B34" s="115" t="inlineStr">
        <is>
          <t>RGT</t>
        </is>
      </c>
      <c r="C34" s="116" t="inlineStr">
        <is>
          <t>C PEPTIDE</t>
        </is>
      </c>
      <c r="D34" s="117" t="inlineStr">
        <is>
          <t>C-Peptide</t>
        </is>
      </c>
      <c r="E34" s="115" t="inlineStr">
        <is>
          <t>9P3620</t>
        </is>
      </c>
      <c r="F34" s="118" t="n"/>
      <c r="G34" s="115" t="inlineStr">
        <is>
          <t>Alinity i C-Peptide Reagente</t>
        </is>
      </c>
      <c r="H34" s="115" t="n">
        <v>200</v>
      </c>
      <c r="I34" s="115" t="inlineStr">
        <is>
          <t>2x100</t>
        </is>
      </c>
      <c r="J34" s="119">
        <f>VLOOKUP(D34,[1]Sheet2!$A$5:$E$146,5,FALSE())</f>
        <v/>
      </c>
      <c r="K34" s="115" t="n"/>
      <c r="L34" s="116" t="n">
        <v>150</v>
      </c>
      <c r="M34" s="120">
        <f>L34/H34</f>
        <v/>
      </c>
    </row>
    <row r="35" ht="14.25" customHeight="1" s="113">
      <c r="A35" s="115" t="inlineStr">
        <is>
          <t>IA</t>
        </is>
      </c>
      <c r="B35" s="115" t="inlineStr">
        <is>
          <t>RGT</t>
        </is>
      </c>
      <c r="C35" s="116" t="inlineStr">
        <is>
          <t>CA 125</t>
        </is>
      </c>
      <c r="D35" s="117" t="inlineStr">
        <is>
          <t>CA 125 II</t>
        </is>
      </c>
      <c r="E35" s="115" t="inlineStr">
        <is>
          <t>8P4920</t>
        </is>
      </c>
      <c r="F35" s="118" t="n"/>
      <c r="G35" s="115" t="inlineStr">
        <is>
          <t>Alinity i CA 125 II Reagente</t>
        </is>
      </c>
      <c r="H35" s="115" t="n">
        <v>200</v>
      </c>
      <c r="I35" s="115" t="inlineStr">
        <is>
          <t>2x100</t>
        </is>
      </c>
      <c r="J35" s="119">
        <f>VLOOKUP(D35,[1]Sheet2!$A$5:$E$146,5,FALSE())</f>
        <v/>
      </c>
      <c r="K35" s="115" t="n"/>
      <c r="L35" s="116" t="n">
        <v>600</v>
      </c>
      <c r="M35" s="120">
        <f>L35/H35</f>
        <v/>
      </c>
    </row>
    <row r="36" ht="14.25" customHeight="1" s="113">
      <c r="A36" s="115" t="inlineStr">
        <is>
          <t>IA</t>
        </is>
      </c>
      <c r="B36" s="115" t="inlineStr">
        <is>
          <t>RGT</t>
        </is>
      </c>
      <c r="C36" s="116" t="inlineStr">
        <is>
          <t>CA 15.3</t>
        </is>
      </c>
      <c r="D36" s="117" t="inlineStr">
        <is>
          <t>CA 15-3</t>
        </is>
      </c>
      <c r="E36" s="115" t="inlineStr">
        <is>
          <t>8P5120</t>
        </is>
      </c>
      <c r="F36" s="118" t="n"/>
      <c r="G36" s="115" t="inlineStr">
        <is>
          <t>Alinity i CA 15-3 Reagente</t>
        </is>
      </c>
      <c r="H36" s="115" t="n">
        <v>200</v>
      </c>
      <c r="I36" s="115" t="inlineStr">
        <is>
          <t>2x100</t>
        </is>
      </c>
      <c r="J36" s="119">
        <f>VLOOKUP(D36,[1]Sheet2!$A$5:$E$146,5,FALSE())</f>
        <v/>
      </c>
      <c r="K36" s="115" t="n"/>
      <c r="L36" s="116" t="n">
        <v>600</v>
      </c>
      <c r="M36" s="120">
        <f>L36/H36</f>
        <v/>
      </c>
    </row>
    <row r="37" ht="14.25" customHeight="1" s="113">
      <c r="A37" s="115" t="inlineStr">
        <is>
          <t>IA</t>
        </is>
      </c>
      <c r="B37" s="115" t="inlineStr">
        <is>
          <t>RGT</t>
        </is>
      </c>
      <c r="C37" s="116" t="inlineStr">
        <is>
          <t>CA 19.9</t>
        </is>
      </c>
      <c r="D37" s="117" t="inlineStr">
        <is>
          <t>CA19-9XR</t>
        </is>
      </c>
      <c r="E37" s="115" t="inlineStr">
        <is>
          <t>8P3230</t>
        </is>
      </c>
      <c r="F37" s="118" t="n"/>
      <c r="G37" s="115" t="inlineStr">
        <is>
          <t>Alinity i CA 19-9XR Reagente</t>
        </is>
      </c>
      <c r="H37" s="115" t="n">
        <v>1000</v>
      </c>
      <c r="I37" s="115" t="inlineStr">
        <is>
          <t>2x500</t>
        </is>
      </c>
      <c r="J37" s="119">
        <f>VLOOKUP(D37,[1]Sheet2!$A$5:$E$146,5,FALSE())</f>
        <v/>
      </c>
      <c r="K37" s="115" t="n"/>
      <c r="L37" s="116" t="n">
        <v>600</v>
      </c>
      <c r="M37" s="120">
        <f>L37/H37</f>
        <v/>
      </c>
    </row>
    <row r="38" ht="14.25" customHeight="1" s="113">
      <c r="A38" s="115">
        <f>IF(_xlfn.NUMBERVALUE(SEARCH("Alinity c",G38)),"CC","IA")</f>
        <v/>
      </c>
      <c r="B38" s="115" t="inlineStr">
        <is>
          <t>RGT</t>
        </is>
      </c>
      <c r="C38" s="116" t="inlineStr">
        <is>
          <t>CALCIO</t>
        </is>
      </c>
      <c r="D38" s="142" t="inlineStr">
        <is>
          <t>CaC2-CaC2-U</t>
        </is>
      </c>
      <c r="E38" s="115" t="inlineStr">
        <is>
          <t>4T8730</t>
        </is>
      </c>
      <c r="F38" s="118" t="n"/>
      <c r="G38" s="115" t="inlineStr">
        <is>
          <t>Alinity c Calcio 2 Reagente</t>
        </is>
      </c>
      <c r="H38" s="115" t="n">
        <v>5160</v>
      </c>
      <c r="I38" s="115" t="inlineStr">
        <is>
          <t>4x1290</t>
        </is>
      </c>
      <c r="J38" s="119">
        <f>VLOOKUP(D38,[1]Sheet2!$A$5:$E$146,5,FALSE())</f>
        <v/>
      </c>
      <c r="K38" s="115" t="n"/>
      <c r="L38" s="116" t="n">
        <v>10000</v>
      </c>
      <c r="M38" s="120">
        <f>L38/H38</f>
        <v/>
      </c>
    </row>
    <row r="39" ht="14.25" customHeight="1" s="113">
      <c r="A39" s="115">
        <f>IF(_xlfn.NUMBERVALUE(SEARCH("Alinity c",G39)),"CC","IA")</f>
        <v/>
      </c>
      <c r="B39" s="115" t="inlineStr">
        <is>
          <t>RGT</t>
        </is>
      </c>
      <c r="C39" s="128" t="n"/>
      <c r="D39" s="124" t="n"/>
      <c r="E39" s="124" t="n"/>
      <c r="F39" s="124" t="n"/>
      <c r="G39" s="123" t="inlineStr">
        <is>
          <t>Alinity c Calcio 2 Reagente</t>
        </is>
      </c>
      <c r="H39" s="123" t="n">
        <v>1560</v>
      </c>
      <c r="I39" s="123" t="inlineStr">
        <is>
          <t>4x390</t>
        </is>
      </c>
      <c r="J39" s="141" t="n"/>
      <c r="K39" s="123" t="n"/>
      <c r="L39" s="124" t="n"/>
      <c r="M39" s="132" t="n"/>
    </row>
    <row r="40" ht="14.25" customHeight="1" s="113">
      <c r="A40" s="115">
        <f>IF(_xlfn.NUMBERVALUE(SEARCH("Alinity c",G40)),"CC","IA")</f>
        <v/>
      </c>
      <c r="B40" s="115" t="inlineStr">
        <is>
          <t>RGT</t>
        </is>
      </c>
      <c r="C40" s="116" t="inlineStr">
        <is>
          <t>CANNABINOIDI (U)</t>
        </is>
      </c>
      <c r="D40" s="117" t="inlineStr">
        <is>
          <t>THC1SQ</t>
        </is>
      </c>
      <c r="E40" s="115" t="inlineStr">
        <is>
          <t>9P5420</t>
        </is>
      </c>
      <c r="F40" s="118" t="n"/>
      <c r="G40" s="115" t="inlineStr">
        <is>
          <t>Alinity c Cannabinoidi Reagente</t>
        </is>
      </c>
      <c r="H40" s="115" t="n">
        <v>400</v>
      </c>
      <c r="I40" s="115" t="inlineStr">
        <is>
          <t>2x200</t>
        </is>
      </c>
      <c r="J40" s="119">
        <f>VLOOKUP(D40,[1]Sheet2!$A$5:$E$146,5,FALSE())</f>
        <v/>
      </c>
      <c r="K40" s="115" t="n"/>
      <c r="L40" s="116" t="n">
        <v>800</v>
      </c>
      <c r="M40" s="120">
        <f>L40/H40</f>
        <v/>
      </c>
    </row>
    <row r="41" ht="14.25" customHeight="1" s="113">
      <c r="A41" s="115">
        <f>IF(_xlfn.NUMBERVALUE(SEARCH("Alinity c",G41)),"CC","IA")</f>
        <v/>
      </c>
      <c r="B41" s="115" t="inlineStr">
        <is>
          <t>RGT</t>
        </is>
      </c>
      <c r="C41" s="116" t="inlineStr">
        <is>
          <t>CARBAMAZEPINA</t>
        </is>
      </c>
      <c r="D41" s="117" t="inlineStr">
        <is>
          <t>Carb</t>
        </is>
      </c>
      <c r="E41" s="115" t="inlineStr">
        <is>
          <t>8P5820</t>
        </is>
      </c>
      <c r="F41" s="118" t="n"/>
      <c r="G41" s="115" t="inlineStr">
        <is>
          <t>Alinity c Carbamazepina Reagente</t>
        </is>
      </c>
      <c r="H41" s="115" t="n">
        <v>400</v>
      </c>
      <c r="I41" s="115" t="inlineStr">
        <is>
          <t>4x100</t>
        </is>
      </c>
      <c r="J41" s="119">
        <f>VLOOKUP(D41,[1]Sheet2!$A$5:$E$146,5,FALSE())</f>
        <v/>
      </c>
      <c r="K41" s="115" t="n"/>
      <c r="L41" s="116" t="n">
        <v>200</v>
      </c>
      <c r="M41" s="120">
        <f>L41/H41</f>
        <v/>
      </c>
    </row>
    <row r="42" ht="14.25" customHeight="1" s="113">
      <c r="A42" s="133" t="inlineStr">
        <is>
          <t>IA</t>
        </is>
      </c>
      <c r="B42" s="133" t="inlineStr">
        <is>
          <t>RGT</t>
        </is>
      </c>
      <c r="C42" s="116" t="inlineStr">
        <is>
          <t>CEA</t>
        </is>
      </c>
      <c r="D42" s="134" t="inlineStr">
        <is>
          <t>CEA</t>
        </is>
      </c>
      <c r="E42" s="133" t="inlineStr">
        <is>
          <t>7P6220</t>
        </is>
      </c>
      <c r="F42" s="118" t="n"/>
      <c r="G42" s="133" t="inlineStr">
        <is>
          <t>Alinity i CEA Reagente</t>
        </is>
      </c>
      <c r="H42" s="133" t="n">
        <v>200</v>
      </c>
      <c r="I42" s="133" t="inlineStr">
        <is>
          <t>2x100</t>
        </is>
      </c>
      <c r="J42" s="119">
        <f>VLOOKUP(D42,[1]Sheet2!$A$5:$E$146,5,FALSE())</f>
        <v/>
      </c>
      <c r="K42" s="133" t="n"/>
      <c r="L42" s="116" t="n">
        <v>900</v>
      </c>
      <c r="M42" s="135">
        <f>L42/H42</f>
        <v/>
      </c>
    </row>
    <row r="43" ht="14.25" customHeight="1" s="113">
      <c r="A43" s="115">
        <f>IF(_xlfn.NUMBERVALUE(SEARCH("Alinity c",G43)),"CC","IA")</f>
        <v/>
      </c>
      <c r="B43" s="115" t="inlineStr">
        <is>
          <t>RGT</t>
        </is>
      </c>
      <c r="C43" s="116" t="inlineStr">
        <is>
          <t>CERULOPLASMINA</t>
        </is>
      </c>
      <c r="D43" s="117" t="inlineStr">
        <is>
          <t>Cerulo</t>
        </is>
      </c>
      <c r="E43" s="115" t="inlineStr">
        <is>
          <t>9P9320</t>
        </is>
      </c>
      <c r="F43" s="118" t="n"/>
      <c r="G43" s="115" t="inlineStr">
        <is>
          <t>Alinity c Ceruloplasmina Reagente</t>
        </is>
      </c>
      <c r="H43" s="115" t="n">
        <v>200</v>
      </c>
      <c r="I43" s="115" t="inlineStr">
        <is>
          <t>2x100</t>
        </is>
      </c>
      <c r="J43" s="119">
        <f>VLOOKUP(D43,[1]Sheet2!$A$5:$E$146,5,FALSE())</f>
        <v/>
      </c>
      <c r="K43" s="115" t="n"/>
      <c r="L43" s="116" t="n">
        <v>200</v>
      </c>
      <c r="M43" s="120">
        <f>L43/H43</f>
        <v/>
      </c>
    </row>
    <row r="44" ht="14.25" customHeight="1" s="113">
      <c r="A44" s="115" t="inlineStr">
        <is>
          <t>IA</t>
        </is>
      </c>
      <c r="B44" s="115" t="inlineStr">
        <is>
          <t>RGT</t>
        </is>
      </c>
      <c r="C44" s="116" t="inlineStr">
        <is>
          <t>CICLOSPORINA (S int)</t>
        </is>
      </c>
      <c r="D44" s="117" t="inlineStr">
        <is>
          <t>Cyclo</t>
        </is>
      </c>
      <c r="E44" s="115" t="inlineStr">
        <is>
          <t>9P3920</t>
        </is>
      </c>
      <c r="F44" s="118" t="n"/>
      <c r="G44" s="115" t="inlineStr">
        <is>
          <t>Alinity i Ciclosporina Reagente</t>
        </is>
      </c>
      <c r="H44" s="115" t="n">
        <v>200</v>
      </c>
      <c r="I44" s="115" t="inlineStr">
        <is>
          <t>2x100</t>
        </is>
      </c>
      <c r="J44" s="119">
        <f>VLOOKUP(D44,[1]Sheet2!$A$5:$E$146,5,FALSE())</f>
        <v/>
      </c>
      <c r="K44" s="115" t="n"/>
      <c r="L44" s="116" t="n">
        <v>100</v>
      </c>
      <c r="M44" s="120">
        <f>L44/H44</f>
        <v/>
      </c>
    </row>
    <row r="45" ht="14.25" customHeight="1" s="113">
      <c r="A45" s="115" t="inlineStr">
        <is>
          <t>CC</t>
        </is>
      </c>
      <c r="B45" s="115" t="inlineStr">
        <is>
          <t>RGT</t>
        </is>
      </c>
      <c r="C45" s="116" t="inlineStr">
        <is>
          <t>CISTATNA C</t>
        </is>
      </c>
      <c r="D45" s="143" t="n"/>
      <c r="E45" s="115" t="inlineStr">
        <is>
          <t>6T3220</t>
        </is>
      </c>
      <c r="F45" s="118" t="n"/>
      <c r="G45" s="115" t="inlineStr">
        <is>
          <t xml:space="preserve">Alinity c CYS C Reagente (CISTATINA C) 200t </t>
        </is>
      </c>
      <c r="H45" s="115" t="n">
        <v>200</v>
      </c>
      <c r="I45" s="115" t="inlineStr">
        <is>
          <t>x100</t>
        </is>
      </c>
      <c r="J45" s="119" t="n"/>
      <c r="K45" s="144" t="n"/>
      <c r="L45" s="145" t="n"/>
      <c r="M45" s="120" t="n"/>
    </row>
    <row r="46" ht="14.25" customHeight="1" s="113">
      <c r="A46" s="115" t="inlineStr">
        <is>
          <t>CC</t>
        </is>
      </c>
      <c r="B46" s="115" t="inlineStr">
        <is>
          <t>RGT</t>
        </is>
      </c>
      <c r="C46" s="128" t="n"/>
      <c r="D46" s="146" t="n"/>
      <c r="E46" s="115" t="inlineStr">
        <is>
          <t>6T3230</t>
        </is>
      </c>
      <c r="F46" s="118" t="n"/>
      <c r="G46" s="115" t="inlineStr">
        <is>
          <t xml:space="preserve">Alinity c CYS C Reagente (CISTATINA C) 500t </t>
        </is>
      </c>
      <c r="H46" s="115" t="n">
        <v>500</v>
      </c>
      <c r="I46" s="115" t="inlineStr">
        <is>
          <t>x250</t>
        </is>
      </c>
      <c r="J46" s="147" t="inlineStr">
        <is>
          <t>….</t>
        </is>
      </c>
      <c r="K46" s="144" t="n"/>
      <c r="L46" s="116" t="n">
        <v>500</v>
      </c>
      <c r="M46" s="120">
        <f>L46/H46</f>
        <v/>
      </c>
    </row>
    <row r="47" ht="25.35" customHeight="1" s="113">
      <c r="A47" s="115" t="inlineStr">
        <is>
          <t>IA</t>
        </is>
      </c>
      <c r="B47" s="115" t="inlineStr">
        <is>
          <t>RGT</t>
        </is>
      </c>
      <c r="C47" s="116" t="inlineStr">
        <is>
          <t>CK-MB MASSA</t>
        </is>
      </c>
      <c r="D47" s="117" t="inlineStr">
        <is>
          <t>CK-MB STAT</t>
        </is>
      </c>
      <c r="E47" s="115" t="inlineStr">
        <is>
          <t>4V3830</t>
        </is>
      </c>
      <c r="F47" s="118" t="n"/>
      <c r="G47" s="115" t="inlineStr">
        <is>
          <t>Alinity i CK-MB Reagente</t>
        </is>
      </c>
      <c r="H47" s="115" t="n">
        <v>1000</v>
      </c>
      <c r="I47" s="115" t="inlineStr">
        <is>
          <t>2x500</t>
        </is>
      </c>
      <c r="J47" s="119">
        <f>VLOOKUP(D47,[1]Sheet2!$A$5:$E$146,5,FALSE())</f>
        <v/>
      </c>
      <c r="K47" s="115" t="n"/>
      <c r="L47" s="116" t="n">
        <v>1600</v>
      </c>
      <c r="M47" s="120">
        <f>L47/H47</f>
        <v/>
      </c>
    </row>
    <row r="48" ht="14.25" customHeight="1" s="113">
      <c r="A48" s="115" t="inlineStr">
        <is>
          <t>IA</t>
        </is>
      </c>
      <c r="B48" s="115" t="inlineStr">
        <is>
          <t>RGT</t>
        </is>
      </c>
      <c r="C48" s="128" t="n"/>
      <c r="D48" s="123" t="n"/>
      <c r="E48" s="123" t="n"/>
      <c r="F48" s="123" t="n"/>
      <c r="G48" s="123" t="inlineStr">
        <is>
          <t>Alinity i CK-MB Reagente</t>
        </is>
      </c>
      <c r="H48" s="123" t="n">
        <v>200</v>
      </c>
      <c r="I48" s="123" t="inlineStr">
        <is>
          <t>2x100</t>
        </is>
      </c>
      <c r="J48" s="125" t="n"/>
      <c r="K48" s="123" t="n"/>
      <c r="L48" s="126" t="n"/>
      <c r="M48" s="127" t="n"/>
    </row>
    <row r="49" ht="14.25" customHeight="1" s="113">
      <c r="A49" s="133">
        <f>IF(_xlfn.NUMBERVALUE(SEARCH("Alinity c",G49)),"CC","IA")</f>
        <v/>
      </c>
      <c r="B49" s="133" t="inlineStr">
        <is>
          <t>RGT</t>
        </is>
      </c>
      <c r="C49" s="148" t="inlineStr">
        <is>
          <t>CLORO - modulo ICT</t>
        </is>
      </c>
      <c r="D49" s="148" t="n"/>
      <c r="E49" s="133" t="inlineStr">
        <is>
          <t>9D2804</t>
        </is>
      </c>
      <c r="F49" s="149" t="n"/>
      <c r="G49" s="133" t="inlineStr">
        <is>
          <t>Alinity c/Architect c Modulo ICT</t>
        </is>
      </c>
      <c r="H49" s="133" t="inlineStr">
        <is>
          <t>1 pz</t>
        </is>
      </c>
      <c r="I49" s="133" t="n">
        <v>60000</v>
      </c>
      <c r="J49" s="119">
        <f>VLOOKUP(D49,[1]Sheet2!$A$5:$E$146,5,FALSE())</f>
        <v/>
      </c>
      <c r="K49" s="133" t="n"/>
      <c r="L49" s="116">
        <f>6700+11700+11800</f>
        <v/>
      </c>
      <c r="M49" s="120" t="n">
        <v>0.5</v>
      </c>
    </row>
    <row r="50" ht="14.25" customHeight="1" s="113">
      <c r="A50" s="115">
        <f>IF(_xlfn.NUMBERVALUE(SEARCH("Alinity c",G50)),"CC","IA")</f>
        <v/>
      </c>
      <c r="B50" s="115" t="inlineStr">
        <is>
          <t>RGT</t>
        </is>
      </c>
      <c r="C50" s="116" t="inlineStr">
        <is>
          <t>COCAINA su Urina</t>
        </is>
      </c>
      <c r="D50" s="117" t="inlineStr">
        <is>
          <t>CocSQ1</t>
        </is>
      </c>
      <c r="E50" s="115" t="inlineStr">
        <is>
          <t>9P5520</t>
        </is>
      </c>
      <c r="F50" s="118" t="n"/>
      <c r="G50" s="115" t="inlineStr">
        <is>
          <t>Alinity c Cocaina Reagente</t>
        </is>
      </c>
      <c r="H50" s="115" t="n">
        <v>500</v>
      </c>
      <c r="I50" s="115" t="inlineStr">
        <is>
          <t>2x250</t>
        </is>
      </c>
      <c r="J50" s="119">
        <f>VLOOKUP(D50,[1]Sheet2!$A$5:$E$146,5,FALSE())</f>
        <v/>
      </c>
      <c r="K50" s="115" t="n"/>
      <c r="L50" s="116" t="n">
        <v>1000</v>
      </c>
      <c r="M50" s="120">
        <f>L50/H50</f>
        <v/>
      </c>
    </row>
    <row r="51" ht="14.25" customHeight="1" s="113">
      <c r="A51" s="133">
        <f>IF(_xlfn.NUMBERVALUE(SEARCH("Alinity c",G51)),"CC","IA")</f>
        <v/>
      </c>
      <c r="B51" s="133" t="inlineStr">
        <is>
          <t>RGT</t>
        </is>
      </c>
      <c r="C51" s="116" t="inlineStr">
        <is>
          <t>COLESTEROLO</t>
        </is>
      </c>
      <c r="D51" s="134" t="inlineStr">
        <is>
          <t>Chol2</t>
        </is>
      </c>
      <c r="E51" s="133" t="inlineStr">
        <is>
          <t>4T8830</t>
        </is>
      </c>
      <c r="F51" s="118" t="n"/>
      <c r="G51" s="133" t="inlineStr">
        <is>
          <t>Alinity c Colesterolo 2 Reagente</t>
        </is>
      </c>
      <c r="H51" s="133" t="n">
        <v>3200</v>
      </c>
      <c r="I51" s="133" t="inlineStr">
        <is>
          <t>4x800</t>
        </is>
      </c>
      <c r="J51" s="119">
        <f>VLOOKUP(D51,[1]Sheet2!$A$5:$E$146,5,FALSE())</f>
        <v/>
      </c>
      <c r="K51" s="133" t="n"/>
      <c r="L51" s="116" t="n">
        <v>10000</v>
      </c>
      <c r="M51" s="135">
        <f>L51/H51</f>
        <v/>
      </c>
    </row>
    <row r="52" ht="14.25" customHeight="1" s="113">
      <c r="A52" s="115">
        <f>IF(_xlfn.NUMBERVALUE(SEARCH("Alinity c",G52)),"CC","IA")</f>
        <v/>
      </c>
      <c r="B52" s="115" t="inlineStr">
        <is>
          <t>RGT</t>
        </is>
      </c>
      <c r="C52" s="128" t="n"/>
      <c r="D52" s="123" t="n"/>
      <c r="E52" s="123" t="n"/>
      <c r="F52" s="123" t="n"/>
      <c r="G52" s="123" t="inlineStr">
        <is>
          <t>Alinity c Colesterolo 2 Reagente</t>
        </is>
      </c>
      <c r="H52" s="123" t="n">
        <v>880</v>
      </c>
      <c r="I52" s="123" t="inlineStr">
        <is>
          <t>4x220</t>
        </is>
      </c>
      <c r="J52" s="125" t="n"/>
      <c r="K52" s="123" t="n"/>
      <c r="L52" s="126" t="n"/>
      <c r="M52" s="127" t="n"/>
    </row>
    <row r="53" ht="14.25" customHeight="1" s="113">
      <c r="A53" s="115">
        <f>IF(_xlfn.NUMBERVALUE(SEARCH("Alinity c",G53)),"CC","IA")</f>
        <v/>
      </c>
      <c r="B53" s="115" t="inlineStr">
        <is>
          <t>RGT</t>
        </is>
      </c>
      <c r="C53" s="116" t="inlineStr">
        <is>
          <t>COLESTEROLO HDL</t>
        </is>
      </c>
      <c r="D53" s="117" t="inlineStr">
        <is>
          <t>Ultra HDL</t>
        </is>
      </c>
      <c r="E53" s="115" t="inlineStr">
        <is>
          <t>7P7530</t>
        </is>
      </c>
      <c r="F53" s="118" t="n"/>
      <c r="G53" s="115" t="inlineStr">
        <is>
          <t>Alinity c ULTRA HDL Reagente</t>
        </is>
      </c>
      <c r="H53" s="115" t="n">
        <v>3500</v>
      </c>
      <c r="I53" s="115" t="inlineStr">
        <is>
          <t>10x350</t>
        </is>
      </c>
      <c r="J53" s="119">
        <f>VLOOKUP(D53,[1]Sheet2!$A$5:$E$146,5,FALSE())</f>
        <v/>
      </c>
      <c r="K53" s="115" t="n"/>
      <c r="L53" s="116" t="n">
        <v>10000</v>
      </c>
      <c r="M53" s="120">
        <f>L53/H53</f>
        <v/>
      </c>
    </row>
    <row r="54" ht="14.25" customHeight="1" s="113">
      <c r="A54" s="133">
        <f>IF(_xlfn.NUMBERVALUE(SEARCH("Alinity c",G54)),"CC","IA")</f>
        <v/>
      </c>
      <c r="B54" s="133" t="inlineStr">
        <is>
          <t>RGT</t>
        </is>
      </c>
      <c r="C54" s="116" t="inlineStr">
        <is>
          <t>COLESTEROLO LDL</t>
        </is>
      </c>
      <c r="D54" s="134" t="inlineStr">
        <is>
          <t>Direct LDL</t>
        </is>
      </c>
      <c r="E54" s="133" t="inlineStr">
        <is>
          <t>7P7120</t>
        </is>
      </c>
      <c r="F54" s="118" t="n"/>
      <c r="G54" s="133" t="inlineStr">
        <is>
          <t>Alinity c LDL Diretta Reagente</t>
        </is>
      </c>
      <c r="H54" s="133" t="n">
        <v>580</v>
      </c>
      <c r="I54" s="133" t="inlineStr">
        <is>
          <t>2x290</t>
        </is>
      </c>
      <c r="J54" s="119">
        <f>VLOOKUP(D54,[1]Sheet2!$A$5:$E$146,5,FALSE())</f>
        <v/>
      </c>
      <c r="K54" s="133" t="n"/>
      <c r="L54" s="116" t="n">
        <v>4000</v>
      </c>
      <c r="M54" s="135">
        <f>L54/H54</f>
        <v/>
      </c>
    </row>
    <row r="55" ht="14.25" customHeight="1" s="113">
      <c r="A55" s="133">
        <f>IF(_xlfn.NUMBERVALUE(SEARCH("Alinity c",G55)),"CC","IA")</f>
        <v/>
      </c>
      <c r="B55" s="133" t="inlineStr">
        <is>
          <t>RGT</t>
        </is>
      </c>
      <c r="C55" s="116" t="inlineStr">
        <is>
          <t>COLINESTERASI</t>
        </is>
      </c>
      <c r="D55" s="134" t="inlineStr">
        <is>
          <t>CHE</t>
        </is>
      </c>
      <c r="E55" s="133" t="inlineStr">
        <is>
          <t>9P9432</t>
        </is>
      </c>
      <c r="F55" s="118" t="n"/>
      <c r="G55" s="133" t="inlineStr">
        <is>
          <t>Alinity c Colinesterasi Reagente</t>
        </is>
      </c>
      <c r="H55" s="133" t="n">
        <v>400</v>
      </c>
      <c r="I55" s="133" t="inlineStr">
        <is>
          <t>2x200</t>
        </is>
      </c>
      <c r="J55" s="119">
        <f>VLOOKUP(D55,[1]Sheet2!$A$5:$E$146,5,FALSE())</f>
        <v/>
      </c>
      <c r="K55" s="133" t="n"/>
      <c r="L55" s="116" t="n">
        <v>2500</v>
      </c>
      <c r="M55" s="135">
        <f>L55/H55</f>
        <v/>
      </c>
    </row>
    <row r="56" ht="14.25" customHeight="1" s="113">
      <c r="A56" s="115">
        <f>IF(_xlfn.NUMBERVALUE(SEARCH("Alinity c",G56)),"CC","IA")</f>
        <v/>
      </c>
      <c r="B56" s="115" t="inlineStr">
        <is>
          <t>RGT</t>
        </is>
      </c>
      <c r="C56" s="116" t="inlineStr">
        <is>
          <t>COMPLEMENTO C3</t>
        </is>
      </c>
      <c r="D56" s="142" t="inlineStr">
        <is>
          <t>C3</t>
        </is>
      </c>
      <c r="E56" s="115" t="inlineStr">
        <is>
          <t>9P5624</t>
        </is>
      </c>
      <c r="F56" s="118" t="n"/>
      <c r="G56" s="115" t="inlineStr">
        <is>
          <t>Alinity c Complemento C3 Reagente</t>
        </is>
      </c>
      <c r="H56" s="115" t="n">
        <v>300</v>
      </c>
      <c r="I56" s="115" t="inlineStr">
        <is>
          <t>2x150</t>
        </is>
      </c>
      <c r="J56" s="119">
        <f>VLOOKUP(D56,[1]Sheet2!$A$5:$E$146,5,FALSE())</f>
        <v/>
      </c>
      <c r="K56" s="115" t="n"/>
      <c r="L56" s="116" t="n">
        <v>300</v>
      </c>
      <c r="M56" s="120">
        <f>L56/H56</f>
        <v/>
      </c>
    </row>
    <row r="57" ht="14.25" customHeight="1" s="113">
      <c r="A57" s="115">
        <f>IF(_xlfn.NUMBERVALUE(SEARCH("Alinity c",G57)),"CC","IA")</f>
        <v/>
      </c>
      <c r="B57" s="115" t="inlineStr">
        <is>
          <t>RGT</t>
        </is>
      </c>
      <c r="C57" s="116" t="inlineStr">
        <is>
          <t>COMPLEMENTO C4</t>
        </is>
      </c>
      <c r="D57" s="142" t="inlineStr">
        <is>
          <t>C4</t>
        </is>
      </c>
      <c r="E57" s="115" t="inlineStr">
        <is>
          <t>9P5724</t>
        </is>
      </c>
      <c r="F57" s="118" t="n"/>
      <c r="G57" s="115" t="inlineStr">
        <is>
          <t>Alinity c Complemento C4 Reagente</t>
        </is>
      </c>
      <c r="H57" s="115" t="n">
        <v>300</v>
      </c>
      <c r="I57" s="115" t="inlineStr">
        <is>
          <t>2x150</t>
        </is>
      </c>
      <c r="J57" s="119">
        <f>VLOOKUP(D57,[1]Sheet2!$A$5:$E$146,5,FALSE())</f>
        <v/>
      </c>
      <c r="K57" s="115" t="n"/>
      <c r="L57" s="116" t="n">
        <v>300</v>
      </c>
      <c r="M57" s="120">
        <f>L57/H57</f>
        <v/>
      </c>
    </row>
    <row r="58" ht="14.25" customHeight="1" s="113">
      <c r="A58" s="115" t="inlineStr">
        <is>
          <t>IA</t>
        </is>
      </c>
      <c r="B58" s="115" t="inlineStr">
        <is>
          <t>RGT</t>
        </is>
      </c>
      <c r="C58" s="116" t="inlineStr">
        <is>
          <t>CORTISOLO (S+U)</t>
        </is>
      </c>
      <c r="D58" s="117" t="inlineStr">
        <is>
          <t>Cortisol</t>
        </is>
      </c>
      <c r="E58" s="115" t="inlineStr">
        <is>
          <t>8P3320</t>
        </is>
      </c>
      <c r="F58" s="118" t="n"/>
      <c r="G58" s="115" t="inlineStr">
        <is>
          <t>Alinity i Cortisolo Reagente</t>
        </is>
      </c>
      <c r="H58" s="115" t="n">
        <v>200</v>
      </c>
      <c r="I58" s="115" t="inlineStr">
        <is>
          <t>2x100</t>
        </is>
      </c>
      <c r="J58" s="119">
        <f>VLOOKUP(D58,[1]Sheet2!$A$5:$E$146,5,FALSE())</f>
        <v/>
      </c>
      <c r="K58" s="115" t="n"/>
      <c r="L58" s="116" t="n">
        <v>400</v>
      </c>
      <c r="M58" s="120">
        <f>L58/H58</f>
        <v/>
      </c>
    </row>
    <row r="59" ht="14.25" customHeight="1" s="113">
      <c r="A59" s="133">
        <f>IF(_xlfn.NUMBERVALUE(SEARCH("Alinity c",G59)),"CC","IA")</f>
        <v/>
      </c>
      <c r="B59" s="133" t="inlineStr">
        <is>
          <t>RGT</t>
        </is>
      </c>
      <c r="C59" s="116" t="inlineStr">
        <is>
          <t>CPK</t>
        </is>
      </c>
      <c r="D59" s="134" t="inlineStr">
        <is>
          <t>CK</t>
        </is>
      </c>
      <c r="E59" s="133" t="inlineStr">
        <is>
          <t>8P4220</t>
        </is>
      </c>
      <c r="F59" s="118" t="n"/>
      <c r="G59" s="133" t="inlineStr">
        <is>
          <t>Alinity c Creatina Chinasi (CK) Reagente</t>
        </is>
      </c>
      <c r="H59" s="133" t="n">
        <v>1200</v>
      </c>
      <c r="I59" s="133" t="inlineStr">
        <is>
          <t>4x300</t>
        </is>
      </c>
      <c r="J59" s="119">
        <f>VLOOKUP(D59,[1]Sheet2!$A$5:$E$146,5,FALSE())</f>
        <v/>
      </c>
      <c r="K59" s="133" t="n"/>
      <c r="L59" s="116" t="n">
        <v>6000</v>
      </c>
      <c r="M59" s="135">
        <f>L59/H59</f>
        <v/>
      </c>
    </row>
    <row r="60" ht="25.35" customHeight="1" s="113">
      <c r="A60" s="133">
        <f>IF(_xlfn.NUMBERVALUE(SEARCH("Alinity c",G60)),"CC","IA")</f>
        <v/>
      </c>
      <c r="B60" s="133" t="inlineStr">
        <is>
          <t>RGT</t>
        </is>
      </c>
      <c r="C60" s="116" t="inlineStr">
        <is>
          <t>CREATININA</t>
        </is>
      </c>
      <c r="D60" s="134" t="inlineStr">
        <is>
          <t>CrEnz+CrEnz-U</t>
        </is>
      </c>
      <c r="E60" s="133" t="inlineStr">
        <is>
          <t>8P0130</t>
        </is>
      </c>
      <c r="F60" s="118" t="n"/>
      <c r="G60" s="133" t="inlineStr">
        <is>
          <t>Alinity c Creatinina Enzimatica Reagente</t>
        </is>
      </c>
      <c r="H60" s="133" t="n">
        <v>3600</v>
      </c>
      <c r="I60" s="133" t="inlineStr">
        <is>
          <t>10x360</t>
        </is>
      </c>
      <c r="J60" s="119">
        <f>VLOOKUP(D60,[1]Sheet2!$A$5:$E$146,5,FALSE())</f>
        <v/>
      </c>
      <c r="K60" s="133" t="n"/>
      <c r="L60" s="116" t="n">
        <v>23000</v>
      </c>
      <c r="M60" s="135">
        <f>L60/H60</f>
        <v/>
      </c>
    </row>
    <row r="61" ht="14.25" customHeight="1" s="113">
      <c r="A61" s="115" t="inlineStr">
        <is>
          <t>IA</t>
        </is>
      </c>
      <c r="B61" s="115" t="inlineStr">
        <is>
          <t>RGT</t>
        </is>
      </c>
      <c r="C61" s="116" t="inlineStr">
        <is>
          <t>DHEA S</t>
        </is>
      </c>
      <c r="D61" s="117" t="inlineStr">
        <is>
          <t>DHEA-S</t>
        </is>
      </c>
      <c r="E61" s="115" t="inlineStr">
        <is>
          <t>9P3720</t>
        </is>
      </c>
      <c r="F61" s="118" t="n"/>
      <c r="G61" s="115" t="inlineStr">
        <is>
          <t>Alinity i DHEA-S Reagente</t>
        </is>
      </c>
      <c r="H61" s="115" t="n">
        <v>200</v>
      </c>
      <c r="I61" s="115" t="inlineStr">
        <is>
          <t>2x100</t>
        </is>
      </c>
      <c r="J61" s="119">
        <f>VLOOKUP(D61,[1]Sheet2!$A$5:$E$146,5,FALSE())</f>
        <v/>
      </c>
      <c r="K61" s="115" t="n"/>
      <c r="L61" s="116" t="n">
        <v>200</v>
      </c>
      <c r="M61" s="120">
        <f>L61/H61</f>
        <v/>
      </c>
    </row>
    <row r="62" ht="14.25" customHeight="1" s="113">
      <c r="A62" s="133">
        <f>IF(_xlfn.NUMBERVALUE(SEARCH("Alinity c",G62)),"CC","IA")</f>
        <v/>
      </c>
      <c r="B62" s="133" t="inlineStr">
        <is>
          <t>RGT</t>
        </is>
      </c>
      <c r="C62" s="116" t="inlineStr">
        <is>
          <t>DIBUCAINA</t>
        </is>
      </c>
      <c r="D62" s="134" t="inlineStr">
        <is>
          <t>DIBCH</t>
        </is>
      </c>
      <c r="E62" s="133" t="inlineStr">
        <is>
          <t>9P9822</t>
        </is>
      </c>
      <c r="F62" s="118" t="n"/>
      <c r="G62" s="133" t="inlineStr">
        <is>
          <t>Alinity c Dibucaina Reagente</t>
        </is>
      </c>
      <c r="H62" s="133" t="n">
        <v>200</v>
      </c>
      <c r="I62" s="133" t="inlineStr">
        <is>
          <t>2x100</t>
        </is>
      </c>
      <c r="J62" s="119">
        <f>VLOOKUP(D62,[1]Sheet2!$A$5:$E$146,5,FALSE())</f>
        <v/>
      </c>
      <c r="K62" s="133" t="n"/>
      <c r="L62" s="116" t="n">
        <v>800</v>
      </c>
      <c r="M62" s="135">
        <f>L62/H62</f>
        <v/>
      </c>
    </row>
    <row r="63" ht="14.25" customHeight="1" s="113">
      <c r="A63" s="115">
        <f>IF(_xlfn.NUMBERVALUE(SEARCH("Alinity c",G63)),"CC","IA")</f>
        <v/>
      </c>
      <c r="B63" s="115" t="inlineStr">
        <is>
          <t>RGT</t>
        </is>
      </c>
      <c r="C63" s="116" t="inlineStr">
        <is>
          <t>DIGOSSINA</t>
        </is>
      </c>
      <c r="D63" s="117" t="inlineStr">
        <is>
          <t>Digoxin</t>
        </is>
      </c>
      <c r="E63" s="115" t="inlineStr">
        <is>
          <t>8P3720</t>
        </is>
      </c>
      <c r="F63" s="118" t="n"/>
      <c r="G63" s="115" t="inlineStr">
        <is>
          <t>Alinity c Digossina Reagente</t>
        </is>
      </c>
      <c r="H63" s="115" t="n">
        <v>800</v>
      </c>
      <c r="I63" s="115" t="inlineStr">
        <is>
          <t>4x200</t>
        </is>
      </c>
      <c r="J63" s="119">
        <f>VLOOKUP(D63,[1]Sheet2!$A$5:$E$146,5,FALSE())</f>
        <v/>
      </c>
      <c r="K63" s="115" t="n"/>
      <c r="L63" s="116" t="n">
        <v>200</v>
      </c>
      <c r="M63" s="120">
        <f>L63/H63</f>
        <v/>
      </c>
    </row>
    <row r="64" ht="14.25" customHeight="1" s="113">
      <c r="A64" s="115">
        <f>IF(_xlfn.NUMBERVALUE(SEARCH("Alinity c",G64)),"CC","IA")</f>
        <v/>
      </c>
      <c r="B64" s="115" t="inlineStr">
        <is>
          <t>RGT</t>
        </is>
      </c>
      <c r="C64" s="116" t="inlineStr">
        <is>
          <t>ECSTASI su Urina</t>
        </is>
      </c>
      <c r="D64" s="117" t="inlineStr">
        <is>
          <t>EcstSQ</t>
        </is>
      </c>
      <c r="E64" s="115" t="inlineStr">
        <is>
          <t>9P5820</t>
        </is>
      </c>
      <c r="F64" s="118" t="n"/>
      <c r="G64" s="115" t="inlineStr">
        <is>
          <t>Alinity c Ecstasy Reagente</t>
        </is>
      </c>
      <c r="H64" s="115" t="n">
        <v>400</v>
      </c>
      <c r="I64" s="115" t="inlineStr">
        <is>
          <t>2x200</t>
        </is>
      </c>
      <c r="J64" s="119">
        <f>VLOOKUP(D64,[1]Sheet2!$A$5:$E$146,5,FALSE())</f>
        <v/>
      </c>
      <c r="K64" s="115" t="n"/>
      <c r="L64" s="116" t="n">
        <v>200</v>
      </c>
      <c r="M64" s="120">
        <f>L64/H64</f>
        <v/>
      </c>
    </row>
    <row r="65" ht="14.25" customHeight="1" s="113">
      <c r="A65" s="115" t="inlineStr">
        <is>
          <t>IA</t>
        </is>
      </c>
      <c r="B65" s="115" t="inlineStr">
        <is>
          <t>RGT</t>
        </is>
      </c>
      <c r="C65" s="116" t="inlineStr">
        <is>
          <t>ESTRADIOLO</t>
        </is>
      </c>
      <c r="D65" s="117" t="inlineStr">
        <is>
          <t>Estradiol</t>
        </is>
      </c>
      <c r="E65" s="115" t="inlineStr">
        <is>
          <t>7P5020</t>
        </is>
      </c>
      <c r="F65" s="118" t="n"/>
      <c r="G65" s="115" t="inlineStr">
        <is>
          <t>Alinity i Estradiolo Reagente</t>
        </is>
      </c>
      <c r="H65" s="115" t="n">
        <v>200</v>
      </c>
      <c r="I65" s="115" t="inlineStr">
        <is>
          <t>2x100</t>
        </is>
      </c>
      <c r="J65" s="119">
        <f>VLOOKUP(D65,[1]Sheet2!$A$5:$E$146,5,FALSE())</f>
        <v/>
      </c>
      <c r="K65" s="115" t="n"/>
      <c r="L65" s="116" t="n">
        <v>400</v>
      </c>
      <c r="M65" s="120">
        <f>L65/H65</f>
        <v/>
      </c>
    </row>
    <row r="66" ht="14.25" customHeight="1" s="113">
      <c r="A66" s="123" t="inlineStr">
        <is>
          <t>CC</t>
        </is>
      </c>
      <c r="B66" s="123" t="inlineStr">
        <is>
          <t>RGT</t>
        </is>
      </c>
      <c r="C66" s="129" t="inlineStr">
        <is>
          <t>ETG su Urina</t>
        </is>
      </c>
      <c r="D66" s="124" t="n"/>
      <c r="E66" s="130" t="n"/>
      <c r="F66" s="123" t="n"/>
      <c r="G66" s="130" t="n"/>
      <c r="H66" s="130" t="n"/>
      <c r="I66" s="130" t="n"/>
      <c r="J66" s="125" t="n"/>
      <c r="K66" s="130" t="n"/>
      <c r="L66" s="126" t="n"/>
      <c r="M66" s="127" t="n"/>
    </row>
    <row r="67" ht="14.25" customHeight="1" s="113">
      <c r="A67" s="115">
        <f>IF(_xlfn.NUMBERVALUE(SEARCH("Alinity c",G67)),"CC","IA")</f>
        <v/>
      </c>
      <c r="B67" s="115" t="inlineStr">
        <is>
          <t>RGT</t>
        </is>
      </c>
      <c r="C67" s="116" t="inlineStr">
        <is>
          <t>FATTORE REUMATOIDE</t>
        </is>
      </c>
      <c r="D67" s="117" t="inlineStr">
        <is>
          <t>RF</t>
        </is>
      </c>
      <c r="E67" s="115" t="inlineStr">
        <is>
          <t>1R1632</t>
        </is>
      </c>
      <c r="F67" s="118" t="n"/>
      <c r="G67" s="115" t="inlineStr">
        <is>
          <t>Alinity c Fattore Reumatoide Reagente</t>
        </is>
      </c>
      <c r="H67" s="115" t="n">
        <v>920</v>
      </c>
      <c r="I67" s="115" t="inlineStr">
        <is>
          <t>4x230</t>
        </is>
      </c>
      <c r="J67" s="119">
        <f>VLOOKUP(D67,[1]Sheet2!$A$5:$E$146,5,FALSE())</f>
        <v/>
      </c>
      <c r="K67" s="115" t="n"/>
      <c r="L67" s="116" t="n">
        <v>600</v>
      </c>
      <c r="M67" s="120">
        <f>L67/H67</f>
        <v/>
      </c>
    </row>
    <row r="68" ht="14.25" customHeight="1" s="113">
      <c r="A68" s="115">
        <f>IF(_xlfn.NUMBERVALUE(SEARCH("Alinity c",G68)),"CC","IA")</f>
        <v/>
      </c>
      <c r="B68" s="115" t="inlineStr">
        <is>
          <t>RGT</t>
        </is>
      </c>
      <c r="C68" s="116" t="inlineStr">
        <is>
          <t>FENITOINA</t>
        </is>
      </c>
      <c r="D68" s="117" t="inlineStr">
        <is>
          <t>Phenytoin</t>
        </is>
      </c>
      <c r="E68" s="115" t="inlineStr">
        <is>
          <t>8P5420</t>
        </is>
      </c>
      <c r="F68" s="118" t="n"/>
      <c r="G68" s="115" t="inlineStr">
        <is>
          <t>Alinity c Fenitoina Reagente</t>
        </is>
      </c>
      <c r="H68" s="115" t="n">
        <v>400</v>
      </c>
      <c r="I68" s="115" t="inlineStr">
        <is>
          <t>4x100</t>
        </is>
      </c>
      <c r="J68" s="119">
        <f>VLOOKUP(D68,[1]Sheet2!$A$5:$E$146,5,FALSE())</f>
        <v/>
      </c>
      <c r="K68" s="115" t="n"/>
      <c r="L68" s="116" t="n">
        <v>200</v>
      </c>
      <c r="M68" s="120">
        <f>L68/H68</f>
        <v/>
      </c>
    </row>
    <row r="69" ht="14.25" customHeight="1" s="113">
      <c r="A69" s="115">
        <f>IF(_xlfn.NUMBERVALUE(SEARCH("Alinity c",G69)),"CC","IA")</f>
        <v/>
      </c>
      <c r="B69" s="115" t="inlineStr">
        <is>
          <t>RGT</t>
        </is>
      </c>
      <c r="C69" s="116" t="inlineStr">
        <is>
          <t>FENOBARBITAL</t>
        </is>
      </c>
      <c r="D69" s="117" t="inlineStr">
        <is>
          <t>Phenobarb</t>
        </is>
      </c>
      <c r="E69" s="115" t="inlineStr">
        <is>
          <t>9P8520</t>
        </is>
      </c>
      <c r="F69" s="118" t="n"/>
      <c r="G69" s="115" t="inlineStr">
        <is>
          <t>Alinity c Fenobarbitale Reagente</t>
        </is>
      </c>
      <c r="H69" s="115" t="n">
        <v>200</v>
      </c>
      <c r="I69" s="115" t="inlineStr">
        <is>
          <t>2x100</t>
        </is>
      </c>
      <c r="J69" s="119">
        <f>VLOOKUP(D69,[1]Sheet2!$A$5:$E$146,5,FALSE())</f>
        <v/>
      </c>
      <c r="K69" s="115" t="n"/>
      <c r="L69" s="116" t="n">
        <v>200</v>
      </c>
      <c r="M69" s="120">
        <f>L69/H69</f>
        <v/>
      </c>
    </row>
    <row r="70" ht="14.25" customHeight="1" s="113">
      <c r="A70" s="115">
        <f>IF(_xlfn.NUMBERVALUE(SEARCH("Alinity c",G70)),"CC","IA")</f>
        <v/>
      </c>
      <c r="B70" s="115" t="inlineStr">
        <is>
          <t>RGT</t>
        </is>
      </c>
      <c r="C70" s="116" t="inlineStr">
        <is>
          <t>Fentanyl</t>
        </is>
      </c>
      <c r="D70" s="142" t="n"/>
      <c r="E70" s="115" t="inlineStr">
        <is>
          <t>4Z4420</t>
        </is>
      </c>
      <c r="F70" s="118" t="n"/>
      <c r="G70" s="115" t="inlineStr">
        <is>
          <t>Alinity c Fentanil Reagente</t>
        </is>
      </c>
      <c r="H70" s="115" t="n">
        <v>200</v>
      </c>
      <c r="I70" s="115" t="inlineStr">
        <is>
          <t>1x200</t>
        </is>
      </c>
      <c r="J70" s="119">
        <f>VLOOKUP(D70,[1]Sheet2!$A$5:$E$146,5,FALSE())</f>
        <v/>
      </c>
      <c r="K70" s="115" t="n"/>
      <c r="L70" s="121" t="inlineStr">
        <is>
          <t>….</t>
        </is>
      </c>
      <c r="M70" s="122" t="inlineStr">
        <is>
          <t>….</t>
        </is>
      </c>
    </row>
    <row r="71" ht="14.25" customHeight="1" s="113">
      <c r="A71" s="133" t="inlineStr">
        <is>
          <t>IA</t>
        </is>
      </c>
      <c r="B71" s="133" t="inlineStr">
        <is>
          <t>RGT</t>
        </is>
      </c>
      <c r="C71" s="116" t="inlineStr">
        <is>
          <t>FERRITINA</t>
        </is>
      </c>
      <c r="D71" s="134" t="inlineStr">
        <is>
          <t>Ferritin</t>
        </is>
      </c>
      <c r="E71" s="133" t="inlineStr">
        <is>
          <t>7P6530</t>
        </is>
      </c>
      <c r="F71" s="118" t="n"/>
      <c r="G71" s="133" t="inlineStr">
        <is>
          <t>Alinity i Ferritina Reagente</t>
        </is>
      </c>
      <c r="H71" s="133" t="n">
        <v>1200</v>
      </c>
      <c r="I71" s="133" t="inlineStr">
        <is>
          <t>2x600</t>
        </is>
      </c>
      <c r="J71" s="119">
        <f>VLOOKUP(D71,[1]Sheet2!$A$5:$E$146,5,FALSE())</f>
        <v/>
      </c>
      <c r="K71" s="133" t="n"/>
      <c r="L71" s="116" t="n">
        <v>6200</v>
      </c>
      <c r="M71" s="135">
        <f>L71/H71</f>
        <v/>
      </c>
    </row>
    <row r="72" ht="14.25" customHeight="1" s="113">
      <c r="A72" s="115" t="inlineStr">
        <is>
          <t>IA</t>
        </is>
      </c>
      <c r="B72" s="115" t="inlineStr">
        <is>
          <t>RGT</t>
        </is>
      </c>
      <c r="C72" s="116" t="inlineStr">
        <is>
          <t>FOLATI</t>
        </is>
      </c>
      <c r="D72" s="117" t="inlineStr">
        <is>
          <t>Folate</t>
        </is>
      </c>
      <c r="E72" s="115" t="inlineStr">
        <is>
          <t>8P1432</t>
        </is>
      </c>
      <c r="F72" s="118" t="n"/>
      <c r="G72" s="115" t="inlineStr">
        <is>
          <t>Alinity i Folato Reagente</t>
        </is>
      </c>
      <c r="H72" s="115" t="n">
        <v>1200</v>
      </c>
      <c r="I72" s="115" t="inlineStr">
        <is>
          <t>2x600</t>
        </is>
      </c>
      <c r="J72" s="119">
        <f>VLOOKUP(D72,[1]Sheet2!$A$5:$E$146,5,FALSE())</f>
        <v/>
      </c>
      <c r="K72" s="115" t="n"/>
      <c r="L72" s="116" t="n">
        <v>2400</v>
      </c>
      <c r="M72" s="120">
        <f>L72/H72</f>
        <v/>
      </c>
    </row>
    <row r="73" ht="14.25" customHeight="1" s="113">
      <c r="A73" s="115">
        <f>IF(_xlfn.NUMBERVALUE(SEARCH("Alinity c",G73)),"CC","IA")</f>
        <v/>
      </c>
      <c r="B73" s="115" t="inlineStr">
        <is>
          <t>RGT</t>
        </is>
      </c>
      <c r="C73" s="116" t="inlineStr">
        <is>
          <t>FOSFATASI ALCALINA</t>
        </is>
      </c>
      <c r="D73" s="117" t="inlineStr">
        <is>
          <t>AlkP2F</t>
        </is>
      </c>
      <c r="E73" s="115" t="inlineStr">
        <is>
          <t>4T8320</t>
        </is>
      </c>
      <c r="F73" s="118" t="n"/>
      <c r="G73" s="115" t="inlineStr">
        <is>
          <t>Alinity c Fosfatasi Alcalina 2 Reagente</t>
        </is>
      </c>
      <c r="H73" s="115" t="n">
        <v>2000</v>
      </c>
      <c r="I73" s="115" t="inlineStr">
        <is>
          <t>10x200</t>
        </is>
      </c>
      <c r="J73" s="119">
        <f>VLOOKUP(D73,[1]Sheet2!$A$5:$E$146,5,FALSE())</f>
        <v/>
      </c>
      <c r="K73" s="115" t="n"/>
      <c r="L73" s="116" t="n">
        <v>4000</v>
      </c>
      <c r="M73" s="120">
        <f>L73/H73</f>
        <v/>
      </c>
    </row>
    <row r="74" ht="25.35" customHeight="1" s="113">
      <c r="A74" s="115">
        <f>IF(_xlfn.NUMBERVALUE(SEARCH("Alinity c",G74)),"CC","IA")</f>
        <v/>
      </c>
      <c r="B74" s="115" t="inlineStr">
        <is>
          <t>RGT</t>
        </is>
      </c>
      <c r="C74" s="116" t="inlineStr">
        <is>
          <t>FOSFORO</t>
        </is>
      </c>
      <c r="D74" s="117" t="inlineStr">
        <is>
          <t>Phos2+Phos2-U</t>
        </is>
      </c>
      <c r="E74" s="115" t="inlineStr">
        <is>
          <t>4U0320</t>
        </is>
      </c>
      <c r="F74" s="118" t="n"/>
      <c r="G74" s="115" t="inlineStr">
        <is>
          <t>Alinity c Fosforo 2 Reagente</t>
        </is>
      </c>
      <c r="H74" s="115" t="n">
        <v>1120</v>
      </c>
      <c r="I74" s="115" t="inlineStr">
        <is>
          <t>4x280</t>
        </is>
      </c>
      <c r="J74" s="119">
        <f>VLOOKUP(D74,[1]Sheet2!$A$5:$E$146,5,FALSE())</f>
        <v/>
      </c>
      <c r="K74" s="115" t="n"/>
      <c r="L74" s="116" t="n">
        <v>2200</v>
      </c>
      <c r="M74" s="120">
        <f>L74/H74</f>
        <v/>
      </c>
    </row>
    <row r="75" ht="14.25" customHeight="1" s="113">
      <c r="A75" s="115" t="inlineStr">
        <is>
          <t>IA</t>
        </is>
      </c>
      <c r="B75" s="115" t="inlineStr">
        <is>
          <t>RGT</t>
        </is>
      </c>
      <c r="C75" s="116" t="inlineStr">
        <is>
          <t>FSH</t>
        </is>
      </c>
      <c r="D75" s="117" t="inlineStr">
        <is>
          <t>FSH</t>
        </is>
      </c>
      <c r="E75" s="115" t="inlineStr">
        <is>
          <t>7P4920</t>
        </is>
      </c>
      <c r="F75" s="118" t="n"/>
      <c r="G75" s="115" t="inlineStr">
        <is>
          <t>Alinity i FSH Reagente</t>
        </is>
      </c>
      <c r="H75" s="115" t="n">
        <v>200</v>
      </c>
      <c r="I75" s="115" t="inlineStr">
        <is>
          <t>2x100</t>
        </is>
      </c>
      <c r="J75" s="119">
        <f>VLOOKUP(D75,[1]Sheet2!$A$5:$E$146,5,FALSE())</f>
        <v/>
      </c>
      <c r="K75" s="115" t="n"/>
      <c r="L75" s="116" t="n">
        <v>400</v>
      </c>
      <c r="M75" s="120">
        <f>L75/H75</f>
        <v/>
      </c>
    </row>
    <row r="76" ht="14.25" customHeight="1" s="113">
      <c r="A76" s="115" t="inlineStr">
        <is>
          <t>IA</t>
        </is>
      </c>
      <c r="B76" s="115" t="inlineStr">
        <is>
          <t>RGT</t>
        </is>
      </c>
      <c r="C76" s="116" t="inlineStr">
        <is>
          <t>FT3</t>
        </is>
      </c>
      <c r="D76" s="117" t="inlineStr">
        <is>
          <t>Free T3</t>
        </is>
      </c>
      <c r="E76" s="115" t="inlineStr">
        <is>
          <t>7P6930</t>
        </is>
      </c>
      <c r="F76" s="118" t="n"/>
      <c r="G76" s="115" t="inlineStr">
        <is>
          <t>Alinity i T3 Libero Reagente</t>
        </is>
      </c>
      <c r="H76" s="115" t="n">
        <v>1200</v>
      </c>
      <c r="I76" s="115" t="inlineStr">
        <is>
          <t>2x600</t>
        </is>
      </c>
      <c r="J76" s="119">
        <f>VLOOKUP(D76,[1]Sheet2!$A$5:$E$146,5,FALSE())</f>
        <v/>
      </c>
      <c r="K76" s="115" t="n"/>
      <c r="L76" s="116" t="n">
        <v>3600</v>
      </c>
      <c r="M76" s="120">
        <f>L76/H76</f>
        <v/>
      </c>
    </row>
    <row r="77" ht="14.25" customHeight="1" s="113">
      <c r="A77" s="115" t="inlineStr">
        <is>
          <t>IA</t>
        </is>
      </c>
      <c r="B77" s="115" t="inlineStr">
        <is>
          <t>RGT</t>
        </is>
      </c>
      <c r="C77" s="116" t="inlineStr">
        <is>
          <t>FT4</t>
        </is>
      </c>
      <c r="D77" s="117" t="inlineStr">
        <is>
          <t>Free T4</t>
        </is>
      </c>
      <c r="E77" s="115" t="inlineStr">
        <is>
          <t>7P7030</t>
        </is>
      </c>
      <c r="F77" s="118" t="n"/>
      <c r="G77" s="115" t="inlineStr">
        <is>
          <t>Alinity i T4 Libero Reagente</t>
        </is>
      </c>
      <c r="H77" s="115" t="n">
        <v>1200</v>
      </c>
      <c r="I77" s="115" t="inlineStr">
        <is>
          <t>2x600</t>
        </is>
      </c>
      <c r="J77" s="119">
        <f>VLOOKUP(D77,[1]Sheet2!$A$5:$E$146,5,FALSE())</f>
        <v/>
      </c>
      <c r="K77" s="115" t="n"/>
      <c r="L77" s="116" t="n">
        <v>4500</v>
      </c>
      <c r="M77" s="120">
        <f>L77/H77</f>
        <v/>
      </c>
    </row>
    <row r="78" ht="14.25" customHeight="1" s="113">
      <c r="A78" s="115" t="inlineStr">
        <is>
          <t>IA</t>
        </is>
      </c>
      <c r="B78" s="115" t="inlineStr">
        <is>
          <t>RGT</t>
        </is>
      </c>
      <c r="C78" s="116" t="inlineStr">
        <is>
          <t>G-6-PDH</t>
        </is>
      </c>
      <c r="D78" s="142" t="n"/>
      <c r="E78" s="115" t="inlineStr">
        <is>
          <t>0LG202</t>
        </is>
      </c>
      <c r="F78" s="118" t="n"/>
      <c r="G78" s="115" t="inlineStr">
        <is>
          <t>G6PD/6PGD</t>
        </is>
      </c>
      <c r="H78" s="115" t="n">
        <v>150</v>
      </c>
      <c r="I78" s="115" t="n">
        <v>150</v>
      </c>
      <c r="J78" s="119">
        <f>VLOOKUP(D78,[1]Sheet2!$A$5:$E$146,5,FALSE())</f>
        <v/>
      </c>
      <c r="K78" s="115" t="n"/>
      <c r="L78" s="121" t="inlineStr">
        <is>
          <t>….</t>
        </is>
      </c>
      <c r="M78" s="122" t="inlineStr">
        <is>
          <t>….</t>
        </is>
      </c>
    </row>
    <row r="79" ht="14.25" customHeight="1" s="113">
      <c r="A79" s="115">
        <f>IF(_xlfn.NUMBERVALUE(SEARCH("Alinity c",G79)),"CC","IA")</f>
        <v/>
      </c>
      <c r="B79" s="115" t="inlineStr">
        <is>
          <t>RGT</t>
        </is>
      </c>
      <c r="C79" s="116" t="inlineStr">
        <is>
          <t>GENTAMICINA</t>
        </is>
      </c>
      <c r="D79" s="142" t="n"/>
      <c r="E79" s="115" t="inlineStr">
        <is>
          <t>8P5520</t>
        </is>
      </c>
      <c r="F79" s="118" t="n"/>
      <c r="G79" s="115" t="inlineStr">
        <is>
          <t>Alinity c Gentamicina Reagente</t>
        </is>
      </c>
      <c r="H79" s="115" t="n">
        <v>200</v>
      </c>
      <c r="I79" s="115" t="inlineStr">
        <is>
          <t>2x100</t>
        </is>
      </c>
      <c r="J79" s="119">
        <f>VLOOKUP(D79,[1]Sheet2!$A$5:$E$146,5,FALSE())</f>
        <v/>
      </c>
      <c r="K79" s="115" t="n"/>
      <c r="L79" s="116" t="n">
        <v>10</v>
      </c>
      <c r="M79" s="120">
        <f>L79/H79</f>
        <v/>
      </c>
    </row>
    <row r="80" ht="14.25" customHeight="1" s="113">
      <c r="A80" s="144" t="inlineStr">
        <is>
          <t>IA</t>
        </is>
      </c>
      <c r="B80" s="144" t="inlineStr">
        <is>
          <t>RGT</t>
        </is>
      </c>
      <c r="C80" s="150" t="inlineStr">
        <is>
          <t>GFAP</t>
        </is>
      </c>
      <c r="D80" s="151" t="n"/>
      <c r="E80" s="144" t="inlineStr">
        <is>
          <t>4W1720</t>
        </is>
      </c>
      <c r="F80" s="118" t="n"/>
      <c r="G80" s="144" t="inlineStr">
        <is>
          <t>Alinity i GFAP (TBI) Reagente</t>
        </is>
      </c>
      <c r="H80" s="115" t="n">
        <v>200</v>
      </c>
      <c r="I80" s="115" t="inlineStr">
        <is>
          <t>2x100</t>
        </is>
      </c>
      <c r="J80" s="119">
        <f>VLOOKUP(D80,[1]Sheet2!$A$5:$E$146,5,FALSE())</f>
        <v/>
      </c>
      <c r="K80" s="115" t="n"/>
      <c r="L80" s="121" t="inlineStr">
        <is>
          <t>….</t>
        </is>
      </c>
      <c r="M80" s="122" t="inlineStr">
        <is>
          <t>….</t>
        </is>
      </c>
    </row>
    <row r="81" ht="14.25" customHeight="1" s="113">
      <c r="A81" s="133">
        <f>IF(_xlfn.NUMBERVALUE(SEARCH("Alinity c",G81)),"CC","IA")</f>
        <v/>
      </c>
      <c r="B81" s="133" t="inlineStr">
        <is>
          <t>RGT</t>
        </is>
      </c>
      <c r="C81" s="116" t="inlineStr">
        <is>
          <t>GGT</t>
        </is>
      </c>
      <c r="D81" s="134" t="inlineStr">
        <is>
          <t>GGT2</t>
        </is>
      </c>
      <c r="E81" s="133" t="inlineStr">
        <is>
          <t>4T9630</t>
        </is>
      </c>
      <c r="F81" s="118" t="n"/>
      <c r="G81" s="133" t="inlineStr">
        <is>
          <t>Alinity c GGT2 Reagente</t>
        </is>
      </c>
      <c r="H81" s="133" t="n">
        <v>2100</v>
      </c>
      <c r="I81" s="133" t="inlineStr">
        <is>
          <t>4x525</t>
        </is>
      </c>
      <c r="J81" s="119">
        <f>VLOOKUP(D81,[1]Sheet2!$A$5:$E$146,5,FALSE())</f>
        <v/>
      </c>
      <c r="K81" s="133" t="n"/>
      <c r="L81" s="116" t="n">
        <v>10000</v>
      </c>
      <c r="M81" s="135">
        <f>L81/H81</f>
        <v/>
      </c>
    </row>
    <row r="82" ht="23.85" customHeight="1" s="113">
      <c r="A82" s="115">
        <f>IF(_xlfn.NUMBERVALUE(SEARCH("Alinity c",G82)),"CC","IA")</f>
        <v/>
      </c>
      <c r="B82" s="115" t="inlineStr">
        <is>
          <t>RGT</t>
        </is>
      </c>
      <c r="C82" s="116" t="inlineStr">
        <is>
          <t>GLICEMIA</t>
        </is>
      </c>
      <c r="D82" s="152" t="inlineStr">
        <is>
          <t>Glucose - Glucose CU</t>
        </is>
      </c>
      <c r="E82" s="115" t="inlineStr">
        <is>
          <t>7P5530</t>
        </is>
      </c>
      <c r="F82" s="118" t="n"/>
      <c r="G82" s="115" t="inlineStr">
        <is>
          <t>Alinity c Glucosio Reagente</t>
        </is>
      </c>
      <c r="H82" s="115" t="n">
        <v>11000</v>
      </c>
      <c r="I82" s="115" t="inlineStr">
        <is>
          <t xml:space="preserve">10x1100 </t>
        </is>
      </c>
      <c r="J82" s="119" t="n">
        <v>17000</v>
      </c>
      <c r="K82" s="115" t="n"/>
      <c r="L82" s="116" t="n">
        <v>20000</v>
      </c>
      <c r="M82" s="120">
        <f>L82/H82</f>
        <v/>
      </c>
    </row>
    <row r="83" ht="14.25" customHeight="1" s="113">
      <c r="A83" s="115">
        <f>IF(_xlfn.NUMBERVALUE(SEARCH("Alinity c",G83)),"CC","IA")</f>
        <v/>
      </c>
      <c r="B83" s="115" t="inlineStr">
        <is>
          <t>RGT</t>
        </is>
      </c>
      <c r="C83" s="128" t="n"/>
      <c r="D83" s="146" t="n"/>
      <c r="E83" s="123" t="inlineStr">
        <is>
          <t>7P5520</t>
        </is>
      </c>
      <c r="F83" s="123" t="n"/>
      <c r="G83" s="123" t="inlineStr">
        <is>
          <t>Alinity c Glucosio Reagente</t>
        </is>
      </c>
      <c r="H83" s="123" t="n">
        <v>4000</v>
      </c>
      <c r="I83" s="123" t="inlineStr">
        <is>
          <t>10x400</t>
        </is>
      </c>
      <c r="J83" s="125" t="n"/>
      <c r="K83" s="123" t="n"/>
      <c r="L83" s="126" t="n"/>
      <c r="M83" s="127" t="n"/>
    </row>
    <row r="84" ht="14.25" customHeight="1" s="113">
      <c r="A84" s="115" t="inlineStr">
        <is>
          <t>IA</t>
        </is>
      </c>
      <c r="B84" s="115" t="inlineStr">
        <is>
          <t>RGT</t>
        </is>
      </c>
      <c r="C84" s="116" t="inlineStr">
        <is>
          <t>HAV lgM</t>
        </is>
      </c>
      <c r="D84" s="117" t="inlineStr">
        <is>
          <t>HAVAb IgM</t>
        </is>
      </c>
      <c r="E84" s="115" t="inlineStr">
        <is>
          <t>2R2822</t>
        </is>
      </c>
      <c r="F84" s="118" t="n"/>
      <c r="G84" s="115" t="inlineStr">
        <is>
          <t>Alinity i HAVAb IgM Reagente</t>
        </is>
      </c>
      <c r="H84" s="115" t="n">
        <v>200</v>
      </c>
      <c r="I84" s="115" t="inlineStr">
        <is>
          <t>2x100</t>
        </is>
      </c>
      <c r="J84" s="119">
        <f>VLOOKUP(D84,[1]Sheet2!$A$5:$E$146,5,FALSE())</f>
        <v/>
      </c>
      <c r="K84" s="115" t="n"/>
      <c r="L84" s="116" t="n">
        <v>200</v>
      </c>
      <c r="M84" s="120">
        <f>L84/H84</f>
        <v/>
      </c>
    </row>
    <row r="85" ht="14.25" customHeight="1" s="113">
      <c r="A85" s="115" t="inlineStr">
        <is>
          <t>IA</t>
        </is>
      </c>
      <c r="B85" s="115" t="inlineStr">
        <is>
          <t>RGT</t>
        </is>
      </c>
      <c r="C85" s="116" t="inlineStr">
        <is>
          <t>HAVAb Totali/HAV IgG</t>
        </is>
      </c>
      <c r="D85" s="117" t="inlineStr">
        <is>
          <t>HAVAb-IgG</t>
        </is>
      </c>
      <c r="E85" s="115" t="inlineStr">
        <is>
          <t>8P2622</t>
        </is>
      </c>
      <c r="F85" s="118" t="n"/>
      <c r="G85" s="115" t="inlineStr">
        <is>
          <t>Alinity i HAVAb IgG Reagente</t>
        </is>
      </c>
      <c r="H85" s="115" t="n">
        <v>200</v>
      </c>
      <c r="I85" s="115" t="inlineStr">
        <is>
          <t>2x100</t>
        </is>
      </c>
      <c r="J85" s="119">
        <f>VLOOKUP(D85,[1]Sheet2!$A$5:$E$146,5,FALSE())</f>
        <v/>
      </c>
      <c r="K85" s="115" t="n"/>
      <c r="L85" s="116" t="n">
        <v>200</v>
      </c>
      <c r="M85" s="120">
        <f>L85/H85</f>
        <v/>
      </c>
    </row>
    <row r="86" ht="14.25" customHeight="1" s="113">
      <c r="A86" s="115" t="inlineStr">
        <is>
          <t>IA</t>
        </is>
      </c>
      <c r="B86" s="115" t="inlineStr">
        <is>
          <t>RGT</t>
        </is>
      </c>
      <c r="C86" s="116" t="inlineStr">
        <is>
          <t>HBC Ab</t>
        </is>
      </c>
      <c r="D86" s="117" t="inlineStr">
        <is>
          <t>Anti-HBc</t>
        </is>
      </c>
      <c r="E86" s="115" t="inlineStr">
        <is>
          <t>7P8722</t>
        </is>
      </c>
      <c r="F86" s="118" t="n"/>
      <c r="G86" s="115" t="inlineStr">
        <is>
          <t>Alinity i Anti-HBc II Reagente</t>
        </is>
      </c>
      <c r="H86" s="115" t="n">
        <v>200</v>
      </c>
      <c r="I86" s="115" t="inlineStr">
        <is>
          <t>2x100</t>
        </is>
      </c>
      <c r="J86" s="119">
        <f>VLOOKUP(D86,[1]Sheet2!$A$5:$E$146,5,FALSE())</f>
        <v/>
      </c>
      <c r="K86" s="115" t="n"/>
      <c r="L86" s="116" t="n">
        <v>600</v>
      </c>
      <c r="M86" s="120">
        <f>L86/H86</f>
        <v/>
      </c>
    </row>
    <row r="87" ht="14.25" customHeight="1" s="113">
      <c r="A87" s="115" t="inlineStr">
        <is>
          <t>IA</t>
        </is>
      </c>
      <c r="B87" s="115" t="inlineStr">
        <is>
          <t>RGT</t>
        </is>
      </c>
      <c r="C87" s="116" t="inlineStr">
        <is>
          <t>HBc lgM</t>
        </is>
      </c>
      <c r="D87" s="117" t="inlineStr">
        <is>
          <t>Anti-HBc M</t>
        </is>
      </c>
      <c r="E87" s="115" t="inlineStr">
        <is>
          <t>7P8622</t>
        </is>
      </c>
      <c r="F87" s="118" t="n"/>
      <c r="G87" s="115" t="inlineStr">
        <is>
          <t>Alinity i Anti-HBc IgM Reagente</t>
        </is>
      </c>
      <c r="H87" s="115" t="n">
        <v>200</v>
      </c>
      <c r="I87" s="115" t="inlineStr">
        <is>
          <t>2x100</t>
        </is>
      </c>
      <c r="J87" s="119">
        <f>VLOOKUP(D87,[1]Sheet2!$A$5:$E$146,5,FALSE())</f>
        <v/>
      </c>
      <c r="K87" s="115" t="n"/>
      <c r="L87" s="116" t="n">
        <v>600</v>
      </c>
      <c r="M87" s="120">
        <f>L87/H87</f>
        <v/>
      </c>
    </row>
    <row r="88" ht="14.25" customHeight="1" s="113">
      <c r="A88" s="115" t="inlineStr">
        <is>
          <t>IA</t>
        </is>
      </c>
      <c r="B88" s="115" t="inlineStr">
        <is>
          <t>RGT</t>
        </is>
      </c>
      <c r="C88" s="116" t="inlineStr">
        <is>
          <t>HBeAb</t>
        </is>
      </c>
      <c r="D88" s="117" t="inlineStr">
        <is>
          <t>Anti-HBe</t>
        </is>
      </c>
      <c r="E88" s="115" t="inlineStr">
        <is>
          <t>7P6322</t>
        </is>
      </c>
      <c r="F88" s="118" t="n"/>
      <c r="G88" s="115" t="inlineStr">
        <is>
          <t>Alinity i Anti-HBe Reagente</t>
        </is>
      </c>
      <c r="H88" s="115" t="n">
        <v>200</v>
      </c>
      <c r="I88" s="115" t="inlineStr">
        <is>
          <t>2x100</t>
        </is>
      </c>
      <c r="J88" s="119">
        <f>VLOOKUP(D88,[1]Sheet2!$A$5:$E$146,5,FALSE())</f>
        <v/>
      </c>
      <c r="K88" s="115" t="n"/>
      <c r="L88" s="116" t="n">
        <v>600</v>
      </c>
      <c r="M88" s="120">
        <f>L88/H88</f>
        <v/>
      </c>
    </row>
    <row r="89" ht="14.25" customHeight="1" s="113">
      <c r="A89" s="115" t="inlineStr">
        <is>
          <t>IA</t>
        </is>
      </c>
      <c r="B89" s="115" t="inlineStr">
        <is>
          <t>RGT</t>
        </is>
      </c>
      <c r="C89" s="116" t="inlineStr">
        <is>
          <t>HBeAg</t>
        </is>
      </c>
      <c r="D89" s="117" t="inlineStr">
        <is>
          <t>HBeAg</t>
        </is>
      </c>
      <c r="E89" s="115" t="inlineStr">
        <is>
          <t>7P6422</t>
        </is>
      </c>
      <c r="F89" s="118" t="n"/>
      <c r="G89" s="115" t="inlineStr">
        <is>
          <t>Alinity i HBeAg Reagente</t>
        </is>
      </c>
      <c r="H89" s="115" t="n">
        <v>200</v>
      </c>
      <c r="I89" s="115" t="inlineStr">
        <is>
          <t>2x100</t>
        </is>
      </c>
      <c r="J89" s="119">
        <f>VLOOKUP(D89,[1]Sheet2!$A$5:$E$146,5,FALSE())</f>
        <v/>
      </c>
      <c r="K89" s="115" t="n"/>
      <c r="L89" s="116" t="n">
        <v>600</v>
      </c>
      <c r="M89" s="120">
        <f>L89/H89</f>
        <v/>
      </c>
    </row>
    <row r="90" ht="14.25" customHeight="1" s="113">
      <c r="A90" s="115" t="inlineStr">
        <is>
          <t>IA</t>
        </is>
      </c>
      <c r="B90" s="115" t="inlineStr">
        <is>
          <t>RGT</t>
        </is>
      </c>
      <c r="C90" s="116" t="inlineStr">
        <is>
          <t>HBsAb</t>
        </is>
      </c>
      <c r="D90" s="117" t="inlineStr">
        <is>
          <t>AntiHBsdil</t>
        </is>
      </c>
      <c r="E90" s="115" t="inlineStr">
        <is>
          <t>7P8957</t>
        </is>
      </c>
      <c r="F90" s="118" t="n"/>
      <c r="G90" s="115" t="inlineStr">
        <is>
          <t>Alinity i Anti-HBs Reagente (Autodil)</t>
        </is>
      </c>
      <c r="H90" s="115" t="n">
        <v>1200</v>
      </c>
      <c r="I90" s="115" t="inlineStr">
        <is>
          <t>2x600</t>
        </is>
      </c>
      <c r="J90" s="119">
        <f>VLOOKUP(D90,[1]Sheet2!$A$5:$E$146,5,FALSE())</f>
        <v/>
      </c>
      <c r="K90" s="115" t="n"/>
      <c r="L90" s="116" t="n">
        <v>1600</v>
      </c>
      <c r="M90" s="120">
        <f>L90/H90</f>
        <v/>
      </c>
    </row>
    <row r="91" ht="14.25" customHeight="1" s="113">
      <c r="A91" s="115" t="inlineStr">
        <is>
          <t>IA</t>
        </is>
      </c>
      <c r="B91" s="115" t="inlineStr">
        <is>
          <t>RGT</t>
        </is>
      </c>
      <c r="C91" s="128" t="n"/>
      <c r="D91" s="123" t="n"/>
      <c r="E91" s="123" t="inlineStr">
        <is>
          <t>7P8952</t>
        </is>
      </c>
      <c r="F91" s="123" t="n"/>
      <c r="G91" s="123" t="inlineStr">
        <is>
          <t>Alinity i Anti-HBs Reagente (Autodil)</t>
        </is>
      </c>
      <c r="H91" s="123" t="n">
        <v>200</v>
      </c>
      <c r="I91" s="123" t="inlineStr">
        <is>
          <t>2x100</t>
        </is>
      </c>
      <c r="J91" s="125" t="n"/>
      <c r="K91" s="123" t="n"/>
      <c r="L91" s="126" t="n"/>
      <c r="M91" s="127" t="n"/>
    </row>
    <row r="92" ht="14.25" customHeight="1" s="113">
      <c r="A92" s="115" t="inlineStr">
        <is>
          <t>IA</t>
        </is>
      </c>
      <c r="B92" s="115" t="inlineStr">
        <is>
          <t>RGT</t>
        </is>
      </c>
      <c r="C92" s="116" t="inlineStr">
        <is>
          <t>HBsAg</t>
        </is>
      </c>
      <c r="D92" s="117" t="inlineStr">
        <is>
          <t>HBsAgNx</t>
        </is>
      </c>
      <c r="E92" s="115" t="inlineStr">
        <is>
          <t>1R6432</t>
        </is>
      </c>
      <c r="F92" s="118" t="n"/>
      <c r="G92" s="115" t="inlineStr">
        <is>
          <t>Alinity i HBsAg Next Qualitativo Reagente</t>
        </is>
      </c>
      <c r="H92" s="115" t="n">
        <v>1200</v>
      </c>
      <c r="I92" s="115" t="inlineStr">
        <is>
          <t>2x600</t>
        </is>
      </c>
      <c r="J92" s="119">
        <f>VLOOKUP(D92,[1]Sheet2!$A$5:$E$146,5,FALSE())</f>
        <v/>
      </c>
      <c r="K92" s="115" t="n"/>
      <c r="L92" s="116" t="n">
        <v>1800</v>
      </c>
      <c r="M92" s="120">
        <f>L92/H92</f>
        <v/>
      </c>
    </row>
    <row r="93" ht="14.25" customHeight="1" s="113">
      <c r="A93" s="115" t="inlineStr">
        <is>
          <t>IA</t>
        </is>
      </c>
      <c r="B93" s="115" t="inlineStr">
        <is>
          <t>RGT</t>
        </is>
      </c>
      <c r="C93" s="128" t="n"/>
      <c r="D93" s="123" t="n"/>
      <c r="E93" s="123" t="inlineStr">
        <is>
          <t>1R6422</t>
        </is>
      </c>
      <c r="F93" s="123" t="n"/>
      <c r="G93" s="123" t="inlineStr">
        <is>
          <t>Alinity i HBsAg Next Qualitativo Reagente</t>
        </is>
      </c>
      <c r="H93" s="123" t="n">
        <v>200</v>
      </c>
      <c r="I93" s="123" t="inlineStr">
        <is>
          <t>2x100</t>
        </is>
      </c>
      <c r="J93" s="125" t="n"/>
      <c r="K93" s="123" t="n"/>
      <c r="L93" s="126" t="n"/>
      <c r="M93" s="127" t="n"/>
    </row>
    <row r="94" ht="14.25" customHeight="1" s="113">
      <c r="A94" s="115" t="inlineStr">
        <is>
          <t>IA</t>
        </is>
      </c>
      <c r="B94" s="115" t="inlineStr">
        <is>
          <t>RGT</t>
        </is>
      </c>
      <c r="C94" s="116" t="inlineStr">
        <is>
          <t>HbsAg quantitativo</t>
        </is>
      </c>
      <c r="D94" s="142" t="n"/>
      <c r="E94" s="115" t="inlineStr">
        <is>
          <t>8P0852</t>
        </is>
      </c>
      <c r="F94" s="118" t="n"/>
      <c r="G94" s="115" t="inlineStr">
        <is>
          <t>Alinity i HBsAg Quant Reagente (Autodil</t>
        </is>
      </c>
      <c r="H94" s="115" t="n">
        <v>200</v>
      </c>
      <c r="I94" s="115" t="inlineStr">
        <is>
          <t>2x100</t>
        </is>
      </c>
      <c r="J94" s="119">
        <f>VLOOKUP(D94,[1]Sheet2!$A$5:$E$146,5,FALSE())</f>
        <v/>
      </c>
      <c r="K94" s="115" t="n"/>
      <c r="L94" s="121" t="inlineStr">
        <is>
          <t>…</t>
        </is>
      </c>
      <c r="M94" s="140" t="inlineStr">
        <is>
          <t>…</t>
        </is>
      </c>
    </row>
    <row r="95" ht="14.25" customHeight="1" s="113">
      <c r="A95" s="115" t="inlineStr">
        <is>
          <t>IA</t>
        </is>
      </c>
      <c r="B95" s="115" t="inlineStr">
        <is>
          <t>RGT</t>
        </is>
      </c>
      <c r="C95" s="116" t="inlineStr">
        <is>
          <t>HE4</t>
        </is>
      </c>
      <c r="D95" s="117" t="inlineStr">
        <is>
          <t>HE4</t>
        </is>
      </c>
      <c r="E95" s="115" t="inlineStr">
        <is>
          <t>8P5022</t>
        </is>
      </c>
      <c r="F95" s="118" t="n"/>
      <c r="G95" s="115" t="inlineStr">
        <is>
          <t>Alinity i HE4 Reagente</t>
        </is>
      </c>
      <c r="H95" s="115" t="n">
        <v>200</v>
      </c>
      <c r="I95" s="115" t="inlineStr">
        <is>
          <t>2x100</t>
        </is>
      </c>
      <c r="J95" s="119">
        <f>VLOOKUP(D95,[1]Sheet2!$A$5:$E$146,5,FALSE())</f>
        <v/>
      </c>
      <c r="K95" s="115" t="n"/>
      <c r="L95" s="116" t="n">
        <v>200</v>
      </c>
      <c r="M95" s="120">
        <f>L95/H95</f>
        <v/>
      </c>
    </row>
    <row r="96" ht="14.25" customHeight="1" s="113">
      <c r="A96" s="115" t="inlineStr">
        <is>
          <t>IA</t>
        </is>
      </c>
      <c r="B96" s="115" t="inlineStr">
        <is>
          <t>RGT</t>
        </is>
      </c>
      <c r="C96" s="116" t="inlineStr">
        <is>
          <t>HIV</t>
        </is>
      </c>
      <c r="D96" s="117" t="inlineStr">
        <is>
          <t>HIV Ag/Ab</t>
        </is>
      </c>
      <c r="E96" s="115" t="inlineStr">
        <is>
          <t>8P0732</t>
        </is>
      </c>
      <c r="F96" s="118" t="n"/>
      <c r="G96" s="115" t="inlineStr">
        <is>
          <t>Alinity i HIV Ag/Ab Combo Reagente</t>
        </is>
      </c>
      <c r="H96" s="115" t="n">
        <v>1200</v>
      </c>
      <c r="I96" s="115" t="inlineStr">
        <is>
          <t>2x600</t>
        </is>
      </c>
      <c r="J96" s="119">
        <f>VLOOKUP(D96,[1]Sheet2!$A$5:$E$146,5,FALSE())</f>
        <v/>
      </c>
      <c r="K96" s="115" t="n"/>
      <c r="L96" s="116" t="n">
        <v>1200</v>
      </c>
      <c r="M96" s="120">
        <f>L96/H96</f>
        <v/>
      </c>
    </row>
    <row r="97" ht="14.25" customHeight="1" s="113">
      <c r="A97" s="115" t="inlineStr">
        <is>
          <t>IA</t>
        </is>
      </c>
      <c r="B97" s="115" t="inlineStr">
        <is>
          <t>RGT</t>
        </is>
      </c>
      <c r="C97" s="128" t="n"/>
      <c r="D97" s="123" t="n"/>
      <c r="E97" s="123" t="inlineStr">
        <is>
          <t>8P0722</t>
        </is>
      </c>
      <c r="F97" s="123" t="n"/>
      <c r="G97" s="123" t="inlineStr">
        <is>
          <t>Alinity i HIV Ag/Ab Combo Reagente</t>
        </is>
      </c>
      <c r="H97" s="123" t="n">
        <v>200</v>
      </c>
      <c r="I97" s="123" t="inlineStr">
        <is>
          <t>2x100</t>
        </is>
      </c>
      <c r="J97" s="125" t="n"/>
      <c r="K97" s="123" t="n"/>
      <c r="L97" s="126" t="n"/>
      <c r="M97" s="127" t="n"/>
    </row>
    <row r="98" ht="14.25" customHeight="1" s="113">
      <c r="A98" s="115">
        <f>IF(_xlfn.NUMBERVALUE(SEARCH("Alinity c",G98)),"CC","IA")</f>
        <v/>
      </c>
      <c r="B98" s="115" t="inlineStr">
        <is>
          <t>RGT</t>
        </is>
      </c>
      <c r="C98" s="116" t="inlineStr">
        <is>
          <t>IGA</t>
        </is>
      </c>
      <c r="D98" s="117" t="inlineStr">
        <is>
          <t>IgA</t>
        </is>
      </c>
      <c r="E98" s="115" t="inlineStr">
        <is>
          <t>9P6124</t>
        </is>
      </c>
      <c r="F98" s="118" t="n"/>
      <c r="G98" s="115" t="inlineStr">
        <is>
          <t>Alinity c Immunoglobulina A Reagente</t>
        </is>
      </c>
      <c r="H98" s="115" t="n">
        <v>360</v>
      </c>
      <c r="I98" s="115" t="inlineStr">
        <is>
          <t>4x90</t>
        </is>
      </c>
      <c r="J98" s="119">
        <f>VLOOKUP(D98,[1]Sheet2!$A$5:$E$146,5,FALSE())</f>
        <v/>
      </c>
      <c r="K98" s="115" t="n"/>
      <c r="L98" s="116" t="n">
        <v>600</v>
      </c>
      <c r="M98" s="120">
        <f>L98/H98</f>
        <v/>
      </c>
    </row>
    <row r="99" ht="14.25" customHeight="1" s="113">
      <c r="A99" s="115">
        <f>IF(_xlfn.NUMBERVALUE(SEARCH("Alinity c",G99)),"CC","IA")</f>
        <v/>
      </c>
      <c r="B99" s="115" t="inlineStr">
        <is>
          <t>RGT</t>
        </is>
      </c>
      <c r="C99" s="116" t="inlineStr">
        <is>
          <t>IGE TOTALI</t>
        </is>
      </c>
      <c r="D99" s="117" t="inlineStr">
        <is>
          <t>IgE</t>
        </is>
      </c>
      <c r="E99" s="115" t="inlineStr">
        <is>
          <t>1R1322</t>
        </is>
      </c>
      <c r="F99" s="118" t="n"/>
      <c r="G99" s="115" t="inlineStr">
        <is>
          <t>Alinity c Immunoglobuline E (IgE) Reagente</t>
        </is>
      </c>
      <c r="H99" s="115" t="n">
        <v>200</v>
      </c>
      <c r="I99" s="115" t="inlineStr">
        <is>
          <t>2x100</t>
        </is>
      </c>
      <c r="J99" s="119">
        <f>VLOOKUP(D99,[1]Sheet2!$A$5:$E$146,5,FALSE())</f>
        <v/>
      </c>
      <c r="K99" s="115" t="n"/>
      <c r="L99" s="116" t="n">
        <v>400</v>
      </c>
      <c r="M99" s="120">
        <f>L99/H99</f>
        <v/>
      </c>
    </row>
    <row r="100" ht="14.25" customHeight="1" s="113">
      <c r="A100" s="115">
        <f>IF(_xlfn.NUMBERVALUE(SEARCH("Alinity c",G100)),"CC","IA")</f>
        <v/>
      </c>
      <c r="B100" s="115" t="inlineStr">
        <is>
          <t>RGT</t>
        </is>
      </c>
      <c r="C100" s="116" t="inlineStr">
        <is>
          <t>IGG</t>
        </is>
      </c>
      <c r="D100" s="117" t="inlineStr">
        <is>
          <t>IgG</t>
        </is>
      </c>
      <c r="E100" s="115" t="inlineStr">
        <is>
          <t>9P6224</t>
        </is>
      </c>
      <c r="F100" s="118" t="n"/>
      <c r="G100" s="115" t="inlineStr">
        <is>
          <t>Alinity c Immunoglobulina G Reagente</t>
        </is>
      </c>
      <c r="H100" s="115" t="n">
        <v>360</v>
      </c>
      <c r="I100" s="115" t="inlineStr">
        <is>
          <t>4x90</t>
        </is>
      </c>
      <c r="J100" s="119">
        <f>VLOOKUP(D100,[1]Sheet2!$A$5:$E$146,5,FALSE())</f>
        <v/>
      </c>
      <c r="K100" s="115" t="n"/>
      <c r="L100" s="116" t="n">
        <v>400</v>
      </c>
      <c r="M100" s="120">
        <f>L100/H100</f>
        <v/>
      </c>
    </row>
    <row r="101" ht="14.25" customHeight="1" s="113">
      <c r="A101" s="115">
        <f>IF(_xlfn.NUMBERVALUE(SEARCH("Alinity c",G101)),"CC","IA")</f>
        <v/>
      </c>
      <c r="B101" s="115" t="inlineStr">
        <is>
          <t>RGT</t>
        </is>
      </c>
      <c r="C101" s="116" t="inlineStr">
        <is>
          <t>IGM</t>
        </is>
      </c>
      <c r="D101" s="117" t="inlineStr">
        <is>
          <t>IgM</t>
        </is>
      </c>
      <c r="E101" s="115" t="inlineStr">
        <is>
          <t>9P6324</t>
        </is>
      </c>
      <c r="F101" s="118" t="n"/>
      <c r="G101" s="115" t="inlineStr">
        <is>
          <t>Alinity c Immunoglobulina M Reagente</t>
        </is>
      </c>
      <c r="H101" s="115" t="n">
        <v>360</v>
      </c>
      <c r="I101" s="115" t="inlineStr">
        <is>
          <t>4x90</t>
        </is>
      </c>
      <c r="J101" s="119">
        <f>VLOOKUP(D101,[1]Sheet2!$A$5:$E$146,5,FALSE())</f>
        <v/>
      </c>
      <c r="K101" s="115" t="n"/>
      <c r="L101" s="116" t="n">
        <v>400</v>
      </c>
      <c r="M101" s="120">
        <f>L101/H101</f>
        <v/>
      </c>
    </row>
    <row r="102" ht="14.25" customHeight="1" s="113">
      <c r="A102" s="115" t="inlineStr">
        <is>
          <t>IA</t>
        </is>
      </c>
      <c r="B102" s="115" t="inlineStr">
        <is>
          <t>RGT</t>
        </is>
      </c>
      <c r="C102" s="116" t="inlineStr">
        <is>
          <t>INSULINA</t>
        </is>
      </c>
      <c r="D102" s="117" t="inlineStr">
        <is>
          <t>Insulin</t>
        </is>
      </c>
      <c r="E102" s="115" t="inlineStr">
        <is>
          <t>4T7520</t>
        </is>
      </c>
      <c r="F102" s="118" t="n"/>
      <c r="G102" s="115" t="inlineStr">
        <is>
          <t>Alinity i Insulina Reagente</t>
        </is>
      </c>
      <c r="H102" s="115" t="n">
        <v>200</v>
      </c>
      <c r="I102" s="115" t="inlineStr">
        <is>
          <t>2x100</t>
        </is>
      </c>
      <c r="J102" s="119">
        <f>VLOOKUP(D102,[1]Sheet2!$A$5:$E$146,5,FALSE())</f>
        <v/>
      </c>
      <c r="K102" s="115" t="n"/>
      <c r="L102" s="116" t="n">
        <v>800</v>
      </c>
      <c r="M102" s="120">
        <f>L102/H102</f>
        <v/>
      </c>
    </row>
    <row r="103" ht="14.25" customHeight="1" s="113">
      <c r="A103" s="133">
        <f>IF(_xlfn.NUMBERVALUE(SEARCH("Alinity c",G103)),"CC","IA")</f>
        <v/>
      </c>
      <c r="B103" s="133" t="inlineStr">
        <is>
          <t>RGT</t>
        </is>
      </c>
      <c r="C103" s="116" t="inlineStr">
        <is>
          <t>LDH</t>
        </is>
      </c>
      <c r="D103" s="134" t="inlineStr">
        <is>
          <t>LDH2F</t>
        </is>
      </c>
      <c r="E103" s="133" t="inlineStr">
        <is>
          <t>4T9930</t>
        </is>
      </c>
      <c r="F103" s="118" t="n"/>
      <c r="G103" s="133" t="inlineStr">
        <is>
          <t>Alinity c LDH 2  Reagente</t>
        </is>
      </c>
      <c r="H103" s="133" t="n">
        <v>2000</v>
      </c>
      <c r="I103" s="133" t="inlineStr">
        <is>
          <t>4x500</t>
        </is>
      </c>
      <c r="J103" s="119">
        <f>VLOOKUP(D103,[1]Sheet2!$A$5:$E$146,5,FALSE())</f>
        <v/>
      </c>
      <c r="K103" s="133" t="n"/>
      <c r="L103" s="116" t="n">
        <v>8000</v>
      </c>
      <c r="M103" s="135">
        <f>L103/H103</f>
        <v/>
      </c>
    </row>
    <row r="104" ht="14.25" customHeight="1" s="113">
      <c r="A104" s="115">
        <f>IF(_xlfn.NUMBERVALUE(SEARCH("Alinity c",G104)),"CC","IA")</f>
        <v/>
      </c>
      <c r="B104" s="115" t="inlineStr">
        <is>
          <t>RGT</t>
        </is>
      </c>
      <c r="C104" s="128" t="n"/>
      <c r="D104" s="123" t="n"/>
      <c r="E104" s="123" t="inlineStr">
        <is>
          <t>4T9920</t>
        </is>
      </c>
      <c r="F104" s="123" t="n"/>
      <c r="G104" s="123" t="inlineStr">
        <is>
          <t>Alinity c LDH 2  Reagente</t>
        </is>
      </c>
      <c r="H104" s="123" t="n">
        <v>600</v>
      </c>
      <c r="I104" s="123" t="inlineStr">
        <is>
          <t>4x150</t>
        </is>
      </c>
      <c r="J104" s="125" t="n"/>
      <c r="K104" s="123" t="n"/>
      <c r="L104" s="126" t="n"/>
      <c r="M104" s="127" t="n"/>
    </row>
    <row r="105" ht="14.25" customHeight="1" s="113">
      <c r="A105" s="115" t="inlineStr">
        <is>
          <t>IA</t>
        </is>
      </c>
      <c r="B105" s="115" t="inlineStr">
        <is>
          <t>RGT</t>
        </is>
      </c>
      <c r="C105" s="116" t="inlineStr">
        <is>
          <t>LH</t>
        </is>
      </c>
      <c r="D105" s="117" t="inlineStr">
        <is>
          <t>LH</t>
        </is>
      </c>
      <c r="E105" s="115" t="inlineStr">
        <is>
          <t>7P9120</t>
        </is>
      </c>
      <c r="F105" s="118" t="n"/>
      <c r="G105" s="115" t="inlineStr">
        <is>
          <t>Alinity i LH Reagente</t>
        </is>
      </c>
      <c r="H105" s="115" t="n">
        <v>200</v>
      </c>
      <c r="I105" s="115" t="inlineStr">
        <is>
          <t>2x100</t>
        </is>
      </c>
      <c r="J105" s="119">
        <f>VLOOKUP(D105,[1]Sheet2!$A$5:$E$146,5,FALSE())</f>
        <v/>
      </c>
      <c r="K105" s="115" t="n"/>
      <c r="L105" s="116" t="n">
        <v>400</v>
      </c>
      <c r="M105" s="120">
        <f>L105/H105</f>
        <v/>
      </c>
    </row>
    <row r="106" ht="14.25" customHeight="1" s="113">
      <c r="A106" s="133">
        <f>IF(_xlfn.NUMBERVALUE(SEARCH("Alinity c",G106)),"CC","IA")</f>
        <v/>
      </c>
      <c r="B106" s="133" t="inlineStr">
        <is>
          <t>RGT</t>
        </is>
      </c>
      <c r="C106" s="116" t="inlineStr">
        <is>
          <t>LIPASI</t>
        </is>
      </c>
      <c r="D106" s="134" t="inlineStr">
        <is>
          <t>Lip2</t>
        </is>
      </c>
      <c r="E106" s="133" t="inlineStr">
        <is>
          <t>04U0020</t>
        </is>
      </c>
      <c r="F106" s="118" t="n"/>
      <c r="G106" s="133" t="inlineStr">
        <is>
          <t>Alinity c Lipasi2</t>
        </is>
      </c>
      <c r="H106" s="133" t="n">
        <v>500</v>
      </c>
      <c r="I106" s="133" t="inlineStr">
        <is>
          <t>4X125</t>
        </is>
      </c>
      <c r="J106" s="119">
        <f>VLOOKUP(D106,[1]Sheet2!$A$5:$E$146,5,FALSE())</f>
        <v/>
      </c>
      <c r="K106" s="153" t="n"/>
      <c r="L106" s="116" t="n">
        <v>4600</v>
      </c>
      <c r="M106" s="135">
        <f>L106/H106</f>
        <v/>
      </c>
    </row>
    <row r="107" ht="14.25" customHeight="1" s="113">
      <c r="A107" s="115">
        <f>IF(_xlfn.NUMBERVALUE(SEARCH("Alinity c",G107)),"CC","IA")</f>
        <v/>
      </c>
      <c r="B107" s="115" t="inlineStr">
        <is>
          <t>RGT</t>
        </is>
      </c>
      <c r="C107" s="116" t="inlineStr">
        <is>
          <t>LITIO</t>
        </is>
      </c>
      <c r="D107" s="117" t="inlineStr">
        <is>
          <t>Lithium</t>
        </is>
      </c>
      <c r="E107" s="115" t="inlineStr">
        <is>
          <t>8P5320</t>
        </is>
      </c>
      <c r="F107" s="118" t="n"/>
      <c r="G107" s="115" t="inlineStr">
        <is>
          <t>Alinity c Litio Reagente</t>
        </is>
      </c>
      <c r="H107" s="115" t="n">
        <v>190</v>
      </c>
      <c r="I107" s="115" t="inlineStr">
        <is>
          <t>2x95</t>
        </is>
      </c>
      <c r="J107" s="119">
        <f>VLOOKUP(D107,[1]Sheet2!$A$5:$E$146,5,FALSE())</f>
        <v/>
      </c>
      <c r="K107" s="115" t="n"/>
      <c r="L107" s="116" t="n">
        <v>190</v>
      </c>
      <c r="M107" s="120">
        <f>L107/H107</f>
        <v/>
      </c>
    </row>
    <row r="108" ht="57.45" customHeight="1" s="113">
      <c r="A108" s="115">
        <f>IF(_xlfn.NUMBERVALUE(SEARCH("Alinity c",G108)),"CC","IA")</f>
        <v/>
      </c>
      <c r="B108" s="115" t="inlineStr">
        <is>
          <t>RGT</t>
        </is>
      </c>
      <c r="C108" s="116" t="inlineStr">
        <is>
          <t>MAGNESIO (S+U)</t>
        </is>
      </c>
      <c r="D108" s="117" t="inlineStr">
        <is>
          <t>Magnesium+MagnesiumU</t>
        </is>
      </c>
      <c r="E108" s="115" t="inlineStr">
        <is>
          <t>8P1934</t>
        </is>
      </c>
      <c r="F108" s="118" t="n"/>
      <c r="G108" s="115" t="inlineStr">
        <is>
          <t>Alinity c Magnesio Reagente</t>
        </is>
      </c>
      <c r="H108" s="154" t="n">
        <v>3600</v>
      </c>
      <c r="I108" s="154" t="inlineStr">
        <is>
          <t>10x360 s/p
2400 tests 10x240 u</t>
        </is>
      </c>
      <c r="J108" s="119">
        <f>VLOOKUP(D108,[1]Sheet2!$A$5:$E$146,5,FALSE())</f>
        <v/>
      </c>
      <c r="K108" s="154" t="n"/>
      <c r="L108" s="116" t="n">
        <v>3600</v>
      </c>
      <c r="M108" s="120">
        <f>L108/H108</f>
        <v/>
      </c>
    </row>
    <row r="109" ht="14.25" customHeight="1" s="113">
      <c r="A109" s="115">
        <f>IF(_xlfn.NUMBERVALUE(SEARCH("Alinity c",G109)),"CC","IA")</f>
        <v/>
      </c>
      <c r="B109" s="115" t="inlineStr">
        <is>
          <t>RGT</t>
        </is>
      </c>
      <c r="C109" s="116" t="inlineStr">
        <is>
          <t>METADONE (U)</t>
        </is>
      </c>
      <c r="D109" s="117" t="inlineStr">
        <is>
          <t>MethSQ</t>
        </is>
      </c>
      <c r="E109" s="115" t="inlineStr">
        <is>
          <t>9P6420</t>
        </is>
      </c>
      <c r="F109" s="118" t="n"/>
      <c r="G109" s="115" t="inlineStr">
        <is>
          <t>Alinity c Metadone Reagente</t>
        </is>
      </c>
      <c r="H109" s="115" t="n">
        <v>400</v>
      </c>
      <c r="I109" s="115" t="inlineStr">
        <is>
          <t>2x200</t>
        </is>
      </c>
      <c r="J109" s="119">
        <f>VLOOKUP(D109,[1]Sheet2!$A$5:$E$146,5,FALSE())</f>
        <v/>
      </c>
      <c r="K109" s="115" t="n"/>
      <c r="L109" s="116" t="n">
        <v>500</v>
      </c>
      <c r="M109" s="120">
        <f>L109/H109</f>
        <v/>
      </c>
    </row>
    <row r="110" ht="14.25" customHeight="1" s="113">
      <c r="A110" s="115" t="inlineStr">
        <is>
          <t>IA</t>
        </is>
      </c>
      <c r="B110" s="115" t="inlineStr">
        <is>
          <t>RGT</t>
        </is>
      </c>
      <c r="C110" s="116" t="inlineStr">
        <is>
          <t>METOTREXATE</t>
        </is>
      </c>
      <c r="D110" s="117" t="inlineStr">
        <is>
          <t>MTX UNDIL</t>
        </is>
      </c>
      <c r="E110" s="115" t="inlineStr">
        <is>
          <t>9P4822</t>
        </is>
      </c>
      <c r="F110" s="118" t="n"/>
      <c r="G110" s="115" t="inlineStr">
        <is>
          <t>Alinity i Methotrexate Reagente</t>
        </is>
      </c>
      <c r="H110" s="115" t="n">
        <v>200</v>
      </c>
      <c r="I110" s="115" t="inlineStr">
        <is>
          <t>2x100</t>
        </is>
      </c>
      <c r="J110" s="119">
        <f>VLOOKUP(D110,[1]Sheet2!$A$5:$E$146,5,FALSE())</f>
        <v/>
      </c>
      <c r="K110" s="115" t="n"/>
      <c r="L110" s="116" t="n">
        <v>50</v>
      </c>
      <c r="M110" s="120">
        <f>L110/H110</f>
        <v/>
      </c>
    </row>
    <row r="111" ht="14.25" customHeight="1" s="113">
      <c r="A111" s="115" t="inlineStr">
        <is>
          <t>IA</t>
        </is>
      </c>
      <c r="B111" s="115" t="inlineStr">
        <is>
          <t>RGT</t>
        </is>
      </c>
      <c r="C111" s="116" t="inlineStr">
        <is>
          <t>MIOGLOBINA</t>
        </is>
      </c>
      <c r="D111" s="117" t="inlineStr">
        <is>
          <t>Myo STAT</t>
        </is>
      </c>
      <c r="E111" s="115" t="inlineStr">
        <is>
          <t>4V3730</t>
        </is>
      </c>
      <c r="F111" s="118" t="n"/>
      <c r="G111" s="115" t="inlineStr">
        <is>
          <t>Alinity i Mioglobina Reagente</t>
        </is>
      </c>
      <c r="H111" s="115" t="n">
        <v>1000</v>
      </c>
      <c r="I111" s="115" t="inlineStr">
        <is>
          <t>2x500</t>
        </is>
      </c>
      <c r="J111" s="119">
        <f>VLOOKUP(D111,[1]Sheet2!$A$5:$E$146,5,FALSE())</f>
        <v/>
      </c>
      <c r="K111" s="115" t="n"/>
      <c r="L111" s="116" t="n">
        <v>1000</v>
      </c>
      <c r="M111" s="120">
        <f>L111/H111</f>
        <v/>
      </c>
    </row>
    <row r="112" ht="14.25" customHeight="1" s="113">
      <c r="A112" s="115" t="inlineStr">
        <is>
          <t>IA</t>
        </is>
      </c>
      <c r="B112" s="115" t="inlineStr">
        <is>
          <t>RGT</t>
        </is>
      </c>
      <c r="C112" s="128" t="n"/>
      <c r="D112" s="123" t="n"/>
      <c r="E112" s="123" t="inlineStr">
        <is>
          <t>4V3720</t>
        </is>
      </c>
      <c r="F112" s="123" t="n"/>
      <c r="G112" s="123" t="inlineStr">
        <is>
          <t>Alinity i Mioglobina Reagente</t>
        </is>
      </c>
      <c r="H112" s="123" t="n">
        <v>200</v>
      </c>
      <c r="I112" s="123" t="inlineStr">
        <is>
          <t>2x100</t>
        </is>
      </c>
      <c r="J112" s="125" t="n"/>
      <c r="K112" s="123" t="n"/>
      <c r="L112" s="126" t="n"/>
      <c r="M112" s="127" t="n"/>
    </row>
    <row r="113" ht="14.25" customHeight="1" s="113">
      <c r="A113" s="115" t="inlineStr">
        <is>
          <t>IA</t>
        </is>
      </c>
      <c r="B113" s="115" t="inlineStr">
        <is>
          <t>RGT</t>
        </is>
      </c>
      <c r="C113" s="116" t="inlineStr">
        <is>
          <t>NGAL urinario</t>
        </is>
      </c>
      <c r="D113" s="142" t="n"/>
      <c r="E113" s="115" t="inlineStr">
        <is>
          <t>9P2920</t>
        </is>
      </c>
      <c r="F113" s="118" t="n"/>
      <c r="G113" s="115" t="inlineStr">
        <is>
          <t>Alinity i uNGAL Reagente</t>
        </is>
      </c>
      <c r="H113" s="115" t="n">
        <v>200</v>
      </c>
      <c r="I113" s="115" t="inlineStr">
        <is>
          <t>2x100</t>
        </is>
      </c>
      <c r="J113" s="119">
        <f>VLOOKUP(D113,[1]Sheet2!$A$5:$E$146,5,FALSE())</f>
        <v/>
      </c>
      <c r="K113" s="115" t="n"/>
      <c r="L113" s="121" t="inlineStr">
        <is>
          <t>….</t>
        </is>
      </c>
      <c r="M113" s="122" t="inlineStr">
        <is>
          <t>….</t>
        </is>
      </c>
    </row>
    <row r="114" ht="14.25" customHeight="1" s="113">
      <c r="A114" s="115">
        <f>IF(_xlfn.NUMBERVALUE(SEARCH("Alinity c",G114)),"CC","IA")</f>
        <v/>
      </c>
      <c r="B114" s="115" t="inlineStr">
        <is>
          <t>RGT</t>
        </is>
      </c>
      <c r="C114" s="116" t="inlineStr">
        <is>
          <t>OPPIACEI</t>
        </is>
      </c>
      <c r="D114" s="117" t="inlineStr">
        <is>
          <t>Opi1SQ</t>
        </is>
      </c>
      <c r="E114" s="115" t="inlineStr">
        <is>
          <t>9P6520</t>
        </is>
      </c>
      <c r="F114" s="118" t="n"/>
      <c r="G114" s="115" t="inlineStr">
        <is>
          <t>Alinity c Oppiacei Reagente</t>
        </is>
      </c>
      <c r="H114" s="115" t="n">
        <v>400</v>
      </c>
      <c r="I114" s="115" t="inlineStr">
        <is>
          <t>2x200</t>
        </is>
      </c>
      <c r="J114" s="119">
        <f>VLOOKUP(D114,[1]Sheet2!$A$5:$E$146,5,FALSE())</f>
        <v/>
      </c>
      <c r="K114" s="115" t="n"/>
      <c r="L114" s="116" t="n">
        <v>800</v>
      </c>
      <c r="M114" s="120">
        <f>L114/H114</f>
        <v/>
      </c>
    </row>
    <row r="115" ht="14.25" customHeight="1" s="113">
      <c r="A115" s="133" t="inlineStr">
        <is>
          <t>IA</t>
        </is>
      </c>
      <c r="B115" s="133" t="inlineStr">
        <is>
          <t>RGT</t>
        </is>
      </c>
      <c r="C115" s="116" t="inlineStr">
        <is>
          <t>PROCALCITONINA</t>
        </is>
      </c>
      <c r="D115" s="134" t="inlineStr">
        <is>
          <t>PCT</t>
        </is>
      </c>
      <c r="E115" s="133" t="inlineStr">
        <is>
          <t>1R1822</t>
        </is>
      </c>
      <c r="F115" s="118" t="n"/>
      <c r="G115" s="133" t="inlineStr">
        <is>
          <t>Alinity i PCT Reagente</t>
        </is>
      </c>
      <c r="H115" s="133" t="n">
        <v>200</v>
      </c>
      <c r="I115" s="133" t="inlineStr">
        <is>
          <t>2x100</t>
        </is>
      </c>
      <c r="J115" s="119">
        <f>VLOOKUP(D115,[1]Sheet2!$A$5:$E$146,5,FALSE())</f>
        <v/>
      </c>
      <c r="K115" s="133" t="n"/>
      <c r="L115" s="116" t="n">
        <v>750</v>
      </c>
      <c r="M115" s="135">
        <f>L115/H115</f>
        <v/>
      </c>
    </row>
    <row r="116" ht="14.25" customHeight="1" s="113">
      <c r="A116" s="115" t="inlineStr">
        <is>
          <t>IA</t>
        </is>
      </c>
      <c r="B116" s="115" t="inlineStr">
        <is>
          <t>RGT</t>
        </is>
      </c>
      <c r="C116" s="116" t="inlineStr">
        <is>
          <t>PROGESTERONE</t>
        </is>
      </c>
      <c r="D116" s="117" t="inlineStr">
        <is>
          <t>Progest</t>
        </is>
      </c>
      <c r="E116" s="115" t="inlineStr">
        <is>
          <t>8P3620</t>
        </is>
      </c>
      <c r="F116" s="118" t="n"/>
      <c r="G116" s="115" t="inlineStr">
        <is>
          <t>Alinity i Progesterone Reagente</t>
        </is>
      </c>
      <c r="H116" s="115" t="n">
        <v>200</v>
      </c>
      <c r="I116" s="115" t="inlineStr">
        <is>
          <t>2x100</t>
        </is>
      </c>
      <c r="J116" s="119">
        <f>VLOOKUP(D116,[1]Sheet2!$A$5:$E$146,5,FALSE())</f>
        <v/>
      </c>
      <c r="K116" s="115" t="n"/>
      <c r="L116" s="116" t="n">
        <v>200</v>
      </c>
      <c r="M116" s="120">
        <f>L116/H116</f>
        <v/>
      </c>
    </row>
    <row r="117" ht="14.25" customHeight="1" s="113">
      <c r="A117" s="115" t="inlineStr">
        <is>
          <t>IA</t>
        </is>
      </c>
      <c r="B117" s="115" t="inlineStr">
        <is>
          <t>RGT</t>
        </is>
      </c>
      <c r="C117" s="116" t="inlineStr">
        <is>
          <t>PROLATTINA</t>
        </is>
      </c>
      <c r="D117" s="117" t="inlineStr">
        <is>
          <t>Prolactin</t>
        </is>
      </c>
      <c r="E117" s="115" t="inlineStr">
        <is>
          <t>7P6620</t>
        </is>
      </c>
      <c r="F117" s="118" t="n"/>
      <c r="G117" s="115" t="inlineStr">
        <is>
          <t>Alinity i Prolattina Reagente</t>
        </is>
      </c>
      <c r="H117" s="115" t="n">
        <v>200</v>
      </c>
      <c r="I117" s="115" t="inlineStr">
        <is>
          <t>2x100</t>
        </is>
      </c>
      <c r="J117" s="119">
        <f>VLOOKUP(D117,[1]Sheet2!$A$5:$E$146,5,FALSE())</f>
        <v/>
      </c>
      <c r="K117" s="115" t="n"/>
      <c r="L117" s="116" t="n">
        <v>500</v>
      </c>
      <c r="M117" s="120">
        <f>L117/H117</f>
        <v/>
      </c>
    </row>
    <row r="118" ht="57.45" customHeight="1" s="113">
      <c r="A118" s="115">
        <f>IF(_xlfn.NUMBERVALUE(SEARCH("Alinity c",G118)),"CC","IA")</f>
        <v/>
      </c>
      <c r="B118" s="115" t="inlineStr">
        <is>
          <t>RGT</t>
        </is>
      </c>
      <c r="C118" s="116" t="inlineStr">
        <is>
          <t>PROTEINA C REATTIVA</t>
        </is>
      </c>
      <c r="D118" s="117" t="inlineStr">
        <is>
          <t>CRP16</t>
        </is>
      </c>
      <c r="E118" s="115" t="inlineStr">
        <is>
          <t>7P5620</t>
        </is>
      </c>
      <c r="F118" s="118" t="n"/>
      <c r="G118" s="115" t="inlineStr">
        <is>
          <t>Alinity c CRP  Reagente</t>
        </is>
      </c>
      <c r="H118" s="154" t="n">
        <v>3500</v>
      </c>
      <c r="I118" s="154" t="inlineStr">
        <is>
          <t>10x350 HS 2900 tests 10x290 WR</t>
        </is>
      </c>
      <c r="J118" s="119">
        <f>VLOOKUP(D118,[1]Sheet2!$A$5:$E$146,5,FALSE())</f>
        <v/>
      </c>
      <c r="K118" s="154" t="n"/>
      <c r="L118" s="116" t="n">
        <v>10500</v>
      </c>
      <c r="M118" s="120">
        <f>L118/H118</f>
        <v/>
      </c>
    </row>
    <row r="119" ht="14.25" customHeight="1" s="113">
      <c r="A119" s="115">
        <f>IF(_xlfn.NUMBERVALUE(SEARCH("Alinity c",G119)),"CC","IA")</f>
        <v/>
      </c>
      <c r="B119" s="115" t="inlineStr">
        <is>
          <t>RGT</t>
        </is>
      </c>
      <c r="C119" s="116" t="inlineStr">
        <is>
          <t>PROTEINE TOTALI</t>
        </is>
      </c>
      <c r="D119" s="117" t="inlineStr">
        <is>
          <t>TPRO2</t>
        </is>
      </c>
      <c r="E119" s="115" t="inlineStr">
        <is>
          <t>4T8130</t>
        </is>
      </c>
      <c r="F119" s="118" t="n"/>
      <c r="G119" s="115" t="inlineStr">
        <is>
          <t>Alinity c Proteine Totali 2 Reagente</t>
        </is>
      </c>
      <c r="H119" s="115" t="n">
        <v>3120</v>
      </c>
      <c r="I119" s="115" t="inlineStr">
        <is>
          <t>4x780</t>
        </is>
      </c>
      <c r="J119" s="119">
        <f>VLOOKUP(D119,[1]Sheet2!$A$5:$E$146,5,FALSE())</f>
        <v/>
      </c>
      <c r="K119" s="115" t="n"/>
      <c r="L119" s="116" t="n">
        <v>12500</v>
      </c>
      <c r="M119" s="120">
        <f>L119/H119</f>
        <v/>
      </c>
    </row>
    <row r="120" ht="14.25" customHeight="1" s="113">
      <c r="A120" s="115">
        <f>IF(_xlfn.NUMBERVALUE(SEARCH("Alinity c",G120)),"CC","IA")</f>
        <v/>
      </c>
      <c r="B120" s="115" t="inlineStr">
        <is>
          <t>RGT</t>
        </is>
      </c>
      <c r="C120" s="128" t="n"/>
      <c r="D120" s="123" t="n"/>
      <c r="E120" s="123" t="inlineStr">
        <is>
          <t>4T8120</t>
        </is>
      </c>
      <c r="F120" s="123" t="n"/>
      <c r="G120" s="123" t="inlineStr">
        <is>
          <t>Alinity c Proteine Totali 2 Reagente</t>
        </is>
      </c>
      <c r="H120" s="123" t="n">
        <v>800</v>
      </c>
      <c r="I120" s="123" t="inlineStr">
        <is>
          <t>4x200</t>
        </is>
      </c>
      <c r="J120" s="125" t="n"/>
      <c r="K120" s="123" t="n"/>
      <c r="L120" s="126" t="n"/>
      <c r="M120" s="127" t="n"/>
    </row>
    <row r="121" ht="14.25" customHeight="1" s="113">
      <c r="A121" s="115">
        <f>IF(_xlfn.NUMBERVALUE(SEARCH("Alinity c",G121)),"CC","IA")</f>
        <v/>
      </c>
      <c r="B121" s="115" t="inlineStr">
        <is>
          <t>RGT</t>
        </is>
      </c>
      <c r="C121" s="116" t="inlineStr">
        <is>
          <t>PROTEINE URINARIE</t>
        </is>
      </c>
      <c r="D121" s="117" t="inlineStr">
        <is>
          <t>U/CSF Prot</t>
        </is>
      </c>
      <c r="E121" s="115" t="inlineStr">
        <is>
          <t>7P5930</t>
        </is>
      </c>
      <c r="F121" s="118" t="n"/>
      <c r="G121" s="115" t="inlineStr">
        <is>
          <t>Alinity c Proteine Urine/CSF Reagente</t>
        </is>
      </c>
      <c r="H121" s="115" t="n">
        <v>2500</v>
      </c>
      <c r="I121" s="115" t="inlineStr">
        <is>
          <t>10x250</t>
        </is>
      </c>
      <c r="J121" s="119">
        <f>VLOOKUP(D121,[1]Sheet2!$A$5:$E$146,5,FALSE())</f>
        <v/>
      </c>
      <c r="K121" s="115" t="n"/>
      <c r="L121" s="116" t="n">
        <v>600</v>
      </c>
      <c r="M121" s="120">
        <f>L121/H121</f>
        <v/>
      </c>
    </row>
    <row r="122" ht="14.25" customHeight="1" s="113">
      <c r="A122" s="115" t="inlineStr">
        <is>
          <t>IA</t>
        </is>
      </c>
      <c r="B122" s="115" t="inlineStr">
        <is>
          <t>RGT</t>
        </is>
      </c>
      <c r="C122" s="116" t="inlineStr">
        <is>
          <t>PSA</t>
        </is>
      </c>
      <c r="D122" s="117" t="inlineStr">
        <is>
          <t>Total PSA</t>
        </is>
      </c>
      <c r="E122" s="115" t="inlineStr">
        <is>
          <t>7P9230</t>
        </is>
      </c>
      <c r="F122" s="118" t="n"/>
      <c r="G122" s="115" t="inlineStr">
        <is>
          <t>Alinity i PSA Totale Reagente</t>
        </is>
      </c>
      <c r="H122" s="115" t="n">
        <v>1200</v>
      </c>
      <c r="I122" s="115" t="inlineStr">
        <is>
          <t>2x600</t>
        </is>
      </c>
      <c r="J122" s="119">
        <f>VLOOKUP(D122,[1]Sheet2!$A$5:$E$146,5,FALSE())</f>
        <v/>
      </c>
      <c r="K122" s="115" t="n"/>
      <c r="L122" s="116" t="n">
        <v>3500</v>
      </c>
      <c r="M122" s="120">
        <f>L122/H122</f>
        <v/>
      </c>
    </row>
    <row r="123" ht="14.25" customHeight="1" s="113">
      <c r="A123" s="115" t="inlineStr">
        <is>
          <t>IA</t>
        </is>
      </c>
      <c r="B123" s="115" t="inlineStr">
        <is>
          <t>RGT</t>
        </is>
      </c>
      <c r="C123" s="116" t="inlineStr">
        <is>
          <t>PSA FREE</t>
        </is>
      </c>
      <c r="D123" s="117" t="inlineStr">
        <is>
          <t>Free PSA</t>
        </is>
      </c>
      <c r="E123" s="115" t="inlineStr">
        <is>
          <t>7P9330</t>
        </is>
      </c>
      <c r="F123" s="118" t="n"/>
      <c r="G123" s="115" t="inlineStr">
        <is>
          <t>Alinity i PSA Libero Reagente</t>
        </is>
      </c>
      <c r="H123" s="115" t="n">
        <v>1000</v>
      </c>
      <c r="I123" s="115" t="inlineStr">
        <is>
          <t>2x500</t>
        </is>
      </c>
      <c r="J123" s="119">
        <f>VLOOKUP(D123,[1]Sheet2!$A$5:$E$146,5,FALSE())</f>
        <v/>
      </c>
      <c r="K123" s="115" t="n"/>
      <c r="L123" s="116" t="n">
        <v>3000</v>
      </c>
      <c r="M123" s="120">
        <f>L123/H123</f>
        <v/>
      </c>
    </row>
    <row r="124" ht="14.25" customHeight="1" s="113">
      <c r="A124" s="115" t="inlineStr">
        <is>
          <t>IA</t>
        </is>
      </c>
      <c r="B124" s="115" t="inlineStr">
        <is>
          <t>RGT</t>
        </is>
      </c>
      <c r="C124" s="116" t="inlineStr">
        <is>
          <t>PTH</t>
        </is>
      </c>
      <c r="D124" s="117" t="inlineStr">
        <is>
          <t>iPTH Stat</t>
        </is>
      </c>
      <c r="E124" s="115" t="inlineStr">
        <is>
          <t>8P3134</t>
        </is>
      </c>
      <c r="F124" s="118" t="n"/>
      <c r="G124" s="115" t="inlineStr">
        <is>
          <t>Alinity i PTH Intatto Reagente</t>
        </is>
      </c>
      <c r="H124" s="115" t="n">
        <v>1000</v>
      </c>
      <c r="I124" s="115" t="inlineStr">
        <is>
          <t>2x500</t>
        </is>
      </c>
      <c r="J124" s="119">
        <f>VLOOKUP(D124,[1]Sheet2!$A$5:$E$146,5,FALSE())</f>
        <v/>
      </c>
      <c r="K124" s="115" t="n"/>
      <c r="L124" s="116" t="n">
        <v>1000</v>
      </c>
      <c r="M124" s="120">
        <f>L124/H124</f>
        <v/>
      </c>
    </row>
    <row r="125" ht="14.25" customHeight="1" s="113">
      <c r="A125" s="115" t="inlineStr">
        <is>
          <t>CC</t>
        </is>
      </c>
      <c r="B125" s="115" t="inlineStr">
        <is>
          <t>RGT</t>
        </is>
      </c>
      <c r="C125" s="116" t="inlineStr">
        <is>
          <t>RAME</t>
        </is>
      </c>
      <c r="D125" s="142" t="n"/>
      <c r="E125" s="115" t="inlineStr">
        <is>
          <t>0L10501</t>
        </is>
      </c>
      <c r="F125" s="118" t="n"/>
      <c r="G125" s="115" t="inlineStr">
        <is>
          <t>Alinity c Rame Reagente</t>
        </is>
      </c>
      <c r="H125" s="115" t="n">
        <v>250</v>
      </c>
      <c r="I125" s="115" t="n"/>
      <c r="J125" s="119">
        <f>VLOOKUP(D125,[1]Sheet2!$A$5:$E$146,5,FALSE())</f>
        <v/>
      </c>
      <c r="K125" s="115" t="n"/>
      <c r="L125" s="121" t="inlineStr">
        <is>
          <t>…..</t>
        </is>
      </c>
      <c r="M125" s="140" t="inlineStr">
        <is>
          <t>…..</t>
        </is>
      </c>
    </row>
    <row r="126" ht="14.25" customHeight="1" s="113">
      <c r="A126" s="115" t="inlineStr">
        <is>
          <t>IA</t>
        </is>
      </c>
      <c r="B126" s="115" t="inlineStr">
        <is>
          <t>RGT</t>
        </is>
      </c>
      <c r="C126" s="116" t="inlineStr">
        <is>
          <t>SHBG</t>
        </is>
      </c>
      <c r="D126" s="117" t="inlineStr">
        <is>
          <t>SHBG</t>
        </is>
      </c>
      <c r="E126" s="115" t="inlineStr">
        <is>
          <t>9P3820</t>
        </is>
      </c>
      <c r="F126" s="118" t="n"/>
      <c r="G126" s="115" t="inlineStr">
        <is>
          <t>Alinity i SHBG Reagente</t>
        </is>
      </c>
      <c r="H126" s="115" t="n">
        <v>200</v>
      </c>
      <c r="I126" s="115" t="inlineStr">
        <is>
          <t>2x100</t>
        </is>
      </c>
      <c r="J126" s="119">
        <f>VLOOKUP(D126,[1]Sheet2!$A$5:$E$146,5,FALSE())</f>
        <v/>
      </c>
      <c r="K126" s="115" t="n"/>
      <c r="L126" s="116" t="n">
        <v>200</v>
      </c>
      <c r="M126" s="120">
        <f>L126/H126</f>
        <v/>
      </c>
    </row>
    <row r="127" ht="14.25" customHeight="1" s="113">
      <c r="A127" s="133">
        <f>IF(_xlfn.NUMBERVALUE(SEARCH("Alinity c",G127)),"CC","IA")</f>
        <v/>
      </c>
      <c r="B127" s="133" t="inlineStr">
        <is>
          <t>RGT</t>
        </is>
      </c>
      <c r="C127" s="116" t="inlineStr">
        <is>
          <t>SIDEREMIA</t>
        </is>
      </c>
      <c r="D127" s="134" t="inlineStr">
        <is>
          <t>Iron2</t>
        </is>
      </c>
      <c r="E127" s="133" t="inlineStr">
        <is>
          <t>4T9820</t>
        </is>
      </c>
      <c r="F127" s="118" t="n"/>
      <c r="G127" s="133" t="inlineStr">
        <is>
          <t>Alinity c Ferro 2 Reagente</t>
        </is>
      </c>
      <c r="H127" s="133" t="n">
        <v>900</v>
      </c>
      <c r="I127" s="133" t="inlineStr">
        <is>
          <t>4x225</t>
        </is>
      </c>
      <c r="J127" s="119">
        <f>VLOOKUP(D127,[1]Sheet2!$A$5:$E$146,5,FALSE())</f>
        <v/>
      </c>
      <c r="K127" s="133" t="n"/>
      <c r="L127" s="116" t="n">
        <v>5500</v>
      </c>
      <c r="M127" s="135">
        <f>L127/H127</f>
        <v/>
      </c>
    </row>
    <row r="128" ht="14.25" customHeight="1" s="113">
      <c r="A128" s="115" t="inlineStr">
        <is>
          <t>IA</t>
        </is>
      </c>
      <c r="B128" s="115" t="inlineStr">
        <is>
          <t>RGT</t>
        </is>
      </c>
      <c r="C128" s="116" t="inlineStr">
        <is>
          <t>SIFILIDE</t>
        </is>
      </c>
      <c r="D128" s="117" t="inlineStr">
        <is>
          <t>Syphilis</t>
        </is>
      </c>
      <c r="E128" s="115" t="inlineStr">
        <is>
          <t>7P6022</t>
        </is>
      </c>
      <c r="F128" s="118" t="n"/>
      <c r="G128" s="115" t="inlineStr">
        <is>
          <t>Alinity i Sifilide TP Reagente</t>
        </is>
      </c>
      <c r="H128" s="115" t="n">
        <v>200</v>
      </c>
      <c r="I128" s="115" t="inlineStr">
        <is>
          <t>2x100</t>
        </is>
      </c>
      <c r="J128" s="119">
        <f>VLOOKUP(D128,[1]Sheet2!$A$5:$E$146,5,FALSE())</f>
        <v/>
      </c>
      <c r="K128" s="115" t="n"/>
      <c r="L128" s="116" t="n">
        <v>800</v>
      </c>
      <c r="M128" s="120">
        <f>L128/H128</f>
        <v/>
      </c>
    </row>
    <row r="129" ht="14.25" customHeight="1" s="113">
      <c r="A129" s="115" t="inlineStr">
        <is>
          <t>IA</t>
        </is>
      </c>
      <c r="B129" s="115" t="inlineStr">
        <is>
          <t>RGT</t>
        </is>
      </c>
      <c r="C129" s="116" t="inlineStr">
        <is>
          <t>SIROLIMUS su S.Intero</t>
        </is>
      </c>
      <c r="D129" s="117" t="inlineStr">
        <is>
          <t>Sirolimus</t>
        </is>
      </c>
      <c r="E129" s="115" t="inlineStr">
        <is>
          <t>9P4120</t>
        </is>
      </c>
      <c r="F129" s="118" t="n"/>
      <c r="G129" s="115" t="inlineStr">
        <is>
          <t>Alinity i Sirolimus Reagente</t>
        </is>
      </c>
      <c r="H129" s="115" t="n">
        <v>200</v>
      </c>
      <c r="I129" s="115" t="inlineStr">
        <is>
          <t>2x100</t>
        </is>
      </c>
      <c r="J129" s="119">
        <f>VLOOKUP(D129,[1]Sheet2!$A$5:$E$146,5,FALSE())</f>
        <v/>
      </c>
      <c r="K129" s="115" t="n"/>
      <c r="L129" s="116" t="n">
        <v>50</v>
      </c>
      <c r="M129" s="120">
        <f>L129/H129</f>
        <v/>
      </c>
    </row>
    <row r="130" ht="14.25" customHeight="1" s="113">
      <c r="A130" s="123" t="inlineStr">
        <is>
          <t>IA</t>
        </is>
      </c>
      <c r="B130" s="123" t="inlineStr">
        <is>
          <t>RGT</t>
        </is>
      </c>
      <c r="C130" s="129" t="inlineStr">
        <is>
          <t>ST2</t>
        </is>
      </c>
      <c r="D130" s="124" t="n"/>
      <c r="E130" s="130" t="n"/>
      <c r="F130" s="123" t="n"/>
      <c r="G130" s="130" t="n"/>
      <c r="H130" s="130" t="n"/>
      <c r="I130" s="130" t="n"/>
      <c r="J130" s="125" t="n"/>
      <c r="K130" s="130" t="n"/>
      <c r="L130" s="126" t="n"/>
      <c r="M130" s="127" t="n"/>
    </row>
    <row r="131" ht="14.25" customHeight="1" s="113">
      <c r="A131" s="115" t="inlineStr">
        <is>
          <t>IA</t>
        </is>
      </c>
      <c r="B131" s="115" t="inlineStr">
        <is>
          <t>RGT</t>
        </is>
      </c>
      <c r="C131" s="116" t="inlineStr">
        <is>
          <t>SUPAR</t>
        </is>
      </c>
      <c r="D131" s="142" t="n"/>
      <c r="E131" s="115" t="inlineStr">
        <is>
          <t>0LT001</t>
        </is>
      </c>
      <c r="F131" s="118" t="n"/>
      <c r="G131" s="115" t="inlineStr">
        <is>
          <t>suPARnostic® TurbiLatex Reagents</t>
        </is>
      </c>
      <c r="H131" s="115" t="n">
        <v>145</v>
      </c>
      <c r="I131" s="115" t="n"/>
      <c r="J131" s="119">
        <f>VLOOKUP(D131,[1]Sheet2!$A$5:$E$146,5,FALSE())</f>
        <v/>
      </c>
      <c r="K131" s="115" t="n"/>
      <c r="L131" s="121" t="inlineStr">
        <is>
          <t>…..</t>
        </is>
      </c>
      <c r="M131" s="140" t="inlineStr">
        <is>
          <t>…..</t>
        </is>
      </c>
    </row>
    <row r="132" ht="14.25" customHeight="1" s="113">
      <c r="A132" s="115" t="inlineStr">
        <is>
          <t>IA</t>
        </is>
      </c>
      <c r="B132" s="115" t="inlineStr">
        <is>
          <t>RGT</t>
        </is>
      </c>
      <c r="C132" s="116" t="inlineStr">
        <is>
          <t>TACROLIMUS su S.Intero</t>
        </is>
      </c>
      <c r="D132" s="117" t="inlineStr">
        <is>
          <t>Tacrolimus</t>
        </is>
      </c>
      <c r="E132" s="115" t="inlineStr">
        <is>
          <t>9P4220</t>
        </is>
      </c>
      <c r="F132" s="118" t="n"/>
      <c r="G132" s="115" t="inlineStr">
        <is>
          <t>Alinity i Tacrolimus Reagente</t>
        </is>
      </c>
      <c r="H132" s="115" t="n">
        <v>200</v>
      </c>
      <c r="I132" s="115" t="inlineStr">
        <is>
          <t>2x100</t>
        </is>
      </c>
      <c r="J132" s="119">
        <f>VLOOKUP(D132,[1]Sheet2!$A$5:$E$146,5,FALSE())</f>
        <v/>
      </c>
      <c r="K132" s="115" t="n"/>
      <c r="L132" s="116" t="n">
        <v>200</v>
      </c>
      <c r="M132" s="120">
        <f>L132/H132</f>
        <v/>
      </c>
    </row>
    <row r="133" ht="14.25" customHeight="1" s="113">
      <c r="A133" s="115">
        <f>IF(_xlfn.NUMBERVALUE(SEARCH("Alinity c",G133)),"CC","IA")</f>
        <v/>
      </c>
      <c r="B133" s="115" t="inlineStr">
        <is>
          <t>RGT</t>
        </is>
      </c>
      <c r="C133" s="116" t="inlineStr">
        <is>
          <t>TAS</t>
        </is>
      </c>
      <c r="D133" s="117" t="inlineStr">
        <is>
          <t>ASO</t>
        </is>
      </c>
      <c r="E133" s="115" t="inlineStr">
        <is>
          <t>1R0620</t>
        </is>
      </c>
      <c r="F133" s="118" t="n"/>
      <c r="G133" s="115" t="inlineStr">
        <is>
          <t>Alinity c ASO Reagente</t>
        </is>
      </c>
      <c r="H133" s="115" t="n">
        <v>300</v>
      </c>
      <c r="I133" s="115" t="inlineStr">
        <is>
          <t>2x150</t>
        </is>
      </c>
      <c r="J133" s="119">
        <f>VLOOKUP(D133,[1]Sheet2!$A$5:$E$146,5,FALSE())</f>
        <v/>
      </c>
      <c r="K133" s="115" t="n"/>
      <c r="L133" s="116" t="n">
        <v>200</v>
      </c>
      <c r="M133" s="120">
        <f>L133/H133</f>
        <v/>
      </c>
    </row>
    <row r="134" ht="14.25" customHeight="1" s="113">
      <c r="A134" s="115">
        <f>IF(_xlfn.NUMBERVALUE(SEARCH("Alinity c",G134)),"CC","IA")</f>
        <v/>
      </c>
      <c r="B134" s="115" t="inlineStr">
        <is>
          <t>RGT</t>
        </is>
      </c>
      <c r="C134" s="116" t="inlineStr">
        <is>
          <t>TEOFILLINA</t>
        </is>
      </c>
      <c r="D134" s="117" t="inlineStr">
        <is>
          <t>Theo</t>
        </is>
      </c>
      <c r="E134" s="115" t="inlineStr">
        <is>
          <t>9P8920</t>
        </is>
      </c>
      <c r="F134" s="118" t="n"/>
      <c r="G134" s="115" t="inlineStr">
        <is>
          <t>Alinity c Teofillina Reagente</t>
        </is>
      </c>
      <c r="H134" s="115" t="n">
        <v>200</v>
      </c>
      <c r="I134" s="115" t="inlineStr">
        <is>
          <t>2x100</t>
        </is>
      </c>
      <c r="J134" s="119">
        <f>VLOOKUP(D134,[1]Sheet2!$A$5:$E$146,5,FALSE())</f>
        <v/>
      </c>
      <c r="K134" s="115" t="n"/>
      <c r="L134" s="116" t="n">
        <v>100</v>
      </c>
      <c r="M134" s="120">
        <f>L134/H134</f>
        <v/>
      </c>
    </row>
    <row r="135" ht="14.25" customHeight="1" s="113">
      <c r="A135" s="115" t="inlineStr">
        <is>
          <t>IA</t>
        </is>
      </c>
      <c r="B135" s="115" t="inlineStr">
        <is>
          <t>RGT</t>
        </is>
      </c>
      <c r="C135" s="116" t="inlineStr">
        <is>
          <t>TESTOSTERONE</t>
        </is>
      </c>
      <c r="D135" s="117" t="inlineStr">
        <is>
          <t>Testo</t>
        </is>
      </c>
      <c r="E135" s="115" t="inlineStr">
        <is>
          <t>7P6822</t>
        </is>
      </c>
      <c r="F135" s="118" t="n"/>
      <c r="G135" s="115" t="inlineStr">
        <is>
          <t>Alinity i Testosterone 2a Gen Reagente</t>
        </is>
      </c>
      <c r="H135" s="115" t="n">
        <v>200</v>
      </c>
      <c r="I135" s="115" t="inlineStr">
        <is>
          <t>2x100</t>
        </is>
      </c>
      <c r="J135" s="119">
        <f>VLOOKUP(D135,[1]Sheet2!$A$5:$E$146,5,FALSE())</f>
        <v/>
      </c>
      <c r="K135" s="115" t="n"/>
      <c r="L135" s="116" t="n">
        <v>500</v>
      </c>
      <c r="M135" s="120">
        <f>L135/H135</f>
        <v/>
      </c>
    </row>
    <row r="136" ht="14.25" customHeight="1" s="113">
      <c r="A136" s="137" t="inlineStr">
        <is>
          <t>IA</t>
        </is>
      </c>
      <c r="B136" s="137" t="inlineStr">
        <is>
          <t>RGT</t>
        </is>
      </c>
      <c r="C136" s="121" t="inlineStr">
        <is>
          <t>TIREOGLOBULINA</t>
        </is>
      </c>
      <c r="D136" s="155" t="n"/>
      <c r="E136" s="137" t="inlineStr">
        <is>
          <t>9P4922</t>
        </is>
      </c>
      <c r="F136" s="118" t="n"/>
      <c r="G136" s="137" t="inlineStr">
        <is>
          <t>Alinity i Tireoglobulina Reagente</t>
        </is>
      </c>
      <c r="H136" s="137" t="n">
        <v>200</v>
      </c>
      <c r="I136" s="137" t="inlineStr">
        <is>
          <t>2x100</t>
        </is>
      </c>
      <c r="J136" s="119">
        <f>VLOOKUP(D136,[1]Sheet2!$A$5:$E$146,5,FALSE())</f>
        <v/>
      </c>
      <c r="K136" s="137" t="n"/>
      <c r="L136" s="121" t="inlineStr">
        <is>
          <t>?</t>
        </is>
      </c>
      <c r="M136" s="140" t="inlineStr">
        <is>
          <t>?</t>
        </is>
      </c>
    </row>
    <row r="137" ht="14.25" customHeight="1" s="113">
      <c r="A137" s="133">
        <f>IF(_xlfn.NUMBERVALUE(SEARCH("Alinity c",G137)),"CC","IA")</f>
        <v/>
      </c>
      <c r="B137" s="133" t="inlineStr">
        <is>
          <t>RGT</t>
        </is>
      </c>
      <c r="C137" s="116" t="inlineStr">
        <is>
          <t>TRANSAMINASI (G8T)</t>
        </is>
      </c>
      <c r="D137" s="134" t="inlineStr">
        <is>
          <t>A-AST</t>
        </is>
      </c>
      <c r="E137" s="133" t="inlineStr">
        <is>
          <t>8P2324</t>
        </is>
      </c>
      <c r="F137" s="118" t="n"/>
      <c r="G137" s="133" t="inlineStr">
        <is>
          <t>Alinity c AST Attivate Reagente</t>
        </is>
      </c>
      <c r="H137" s="133" t="n">
        <v>3500</v>
      </c>
      <c r="I137" s="133" t="inlineStr">
        <is>
          <t>10x350</t>
        </is>
      </c>
      <c r="J137" s="119">
        <f>VLOOKUP(D137,[1]Sheet2!$A$5:$E$146,5,FALSE())</f>
        <v/>
      </c>
      <c r="K137" s="133" t="n"/>
      <c r="L137" s="116" t="n">
        <v>16000</v>
      </c>
      <c r="M137" s="135">
        <f>L137/H137</f>
        <v/>
      </c>
    </row>
    <row r="138" ht="14.25" customHeight="1" s="113">
      <c r="A138" s="133">
        <f>IF(_xlfn.NUMBERVALUE(SEARCH("Alinity c",G138)),"CC","IA")</f>
        <v/>
      </c>
      <c r="B138" s="133" t="inlineStr">
        <is>
          <t>RGT</t>
        </is>
      </c>
      <c r="C138" s="116" t="inlineStr">
        <is>
          <t>TRANSAMINASI (GPT)</t>
        </is>
      </c>
      <c r="D138" s="134" t="inlineStr">
        <is>
          <t>A-ALT</t>
        </is>
      </c>
      <c r="E138" s="133" t="inlineStr">
        <is>
          <t>8P1824</t>
        </is>
      </c>
      <c r="F138" s="118" t="n"/>
      <c r="G138" s="133" t="inlineStr">
        <is>
          <t>Alinity c ALT Attivate Reagente</t>
        </is>
      </c>
      <c r="H138" s="133" t="n">
        <v>3000</v>
      </c>
      <c r="I138" s="133" t="inlineStr">
        <is>
          <t>10x300</t>
        </is>
      </c>
      <c r="J138" s="119">
        <f>VLOOKUP(D138,[1]Sheet2!$A$5:$E$146,5,FALSE())</f>
        <v/>
      </c>
      <c r="K138" s="133" t="n"/>
      <c r="L138" s="116" t="n">
        <v>16500</v>
      </c>
      <c r="M138" s="135">
        <f>L138/H138</f>
        <v/>
      </c>
    </row>
    <row r="139" ht="14.25" customHeight="1" s="113">
      <c r="A139" s="115">
        <f>IF(_xlfn.NUMBERVALUE(SEARCH("Alinity c",G139)),"CC","IA")</f>
        <v/>
      </c>
      <c r="B139" s="115" t="inlineStr">
        <is>
          <t>RGT</t>
        </is>
      </c>
      <c r="C139" s="116" t="inlineStr">
        <is>
          <t>TRANSFERRINA</t>
        </is>
      </c>
      <c r="D139" s="117" t="inlineStr">
        <is>
          <t>Transf</t>
        </is>
      </c>
      <c r="E139" s="115" t="inlineStr">
        <is>
          <t>8P3824</t>
        </is>
      </c>
      <c r="F139" s="118" t="n"/>
      <c r="G139" s="115" t="inlineStr">
        <is>
          <t>Alinity c Transferrina Reagente</t>
        </is>
      </c>
      <c r="H139" s="115" t="n">
        <v>800</v>
      </c>
      <c r="I139" s="115" t="inlineStr">
        <is>
          <t>2x400</t>
        </is>
      </c>
      <c r="J139" s="119">
        <f>VLOOKUP(D139,[1]Sheet2!$A$5:$E$146,5,FALSE())</f>
        <v/>
      </c>
      <c r="K139" s="115" t="n"/>
      <c r="L139" s="116" t="n">
        <v>1600</v>
      </c>
      <c r="M139" s="120">
        <f>L139/H139</f>
        <v/>
      </c>
    </row>
    <row r="140" ht="14.25" customHeight="1" s="113">
      <c r="A140" s="133">
        <f>IF(_xlfn.NUMBERVALUE(SEARCH("Alinity c",G140)),"CC","IA")</f>
        <v/>
      </c>
      <c r="B140" s="133" t="inlineStr">
        <is>
          <t>RGT</t>
        </is>
      </c>
      <c r="C140" s="116" t="inlineStr">
        <is>
          <t>TRIGLICERIDI</t>
        </is>
      </c>
      <c r="D140" s="134" t="inlineStr">
        <is>
          <t>Trig2</t>
        </is>
      </c>
      <c r="E140" s="133" t="inlineStr">
        <is>
          <t>4U0620</t>
        </is>
      </c>
      <c r="F140" s="118" t="n"/>
      <c r="G140" s="133" t="inlineStr">
        <is>
          <t>Alinity c Trigliceridi 2 Reagente</t>
        </is>
      </c>
      <c r="H140" s="133" t="n">
        <v>1400</v>
      </c>
      <c r="I140" s="133" t="inlineStr">
        <is>
          <t>4x350</t>
        </is>
      </c>
      <c r="J140" s="119">
        <f>VLOOKUP(D140,[1]Sheet2!$A$5:$E$146,5,FALSE())</f>
        <v/>
      </c>
      <c r="K140" s="133" t="n"/>
      <c r="L140" s="116" t="n">
        <v>10000</v>
      </c>
      <c r="M140" s="135">
        <f>L140/H140</f>
        <v/>
      </c>
    </row>
    <row r="141" ht="14.25" customHeight="1" s="113">
      <c r="A141" s="115" t="inlineStr">
        <is>
          <t>IA</t>
        </is>
      </c>
      <c r="B141" s="115" t="inlineStr">
        <is>
          <t>RGT</t>
        </is>
      </c>
      <c r="C141" s="116" t="inlineStr">
        <is>
          <t>TROPONINA hs</t>
        </is>
      </c>
      <c r="D141" s="117" t="inlineStr">
        <is>
          <t>TnI MI RS</t>
        </is>
      </c>
      <c r="E141" s="115" t="inlineStr">
        <is>
          <t>8P1337</t>
        </is>
      </c>
      <c r="F141" s="118" t="n"/>
      <c r="G141" s="115" t="inlineStr">
        <is>
          <t>Alinity i STAT HS Troponin-I Reagente</t>
        </is>
      </c>
      <c r="H141" s="115" t="n">
        <v>1200</v>
      </c>
      <c r="I141" s="115" t="inlineStr">
        <is>
          <t>2x600</t>
        </is>
      </c>
      <c r="J141" s="119">
        <f>VLOOKUP(D141,[1]Sheet2!$A$5:$E$146,5,FALSE())</f>
        <v/>
      </c>
      <c r="K141" s="115" t="n"/>
      <c r="L141" s="116" t="n">
        <v>3600</v>
      </c>
      <c r="M141" s="120">
        <f>L141/H141</f>
        <v/>
      </c>
    </row>
    <row r="142" ht="14.25" customHeight="1" s="113">
      <c r="A142" s="115" t="inlineStr">
        <is>
          <t>IA</t>
        </is>
      </c>
      <c r="B142" s="115" t="inlineStr">
        <is>
          <t>RGT</t>
        </is>
      </c>
      <c r="C142" s="128" t="n"/>
      <c r="D142" s="123" t="n"/>
      <c r="E142" s="123" t="inlineStr">
        <is>
          <t>8P1327</t>
        </is>
      </c>
      <c r="F142" s="123" t="n"/>
      <c r="G142" s="123" t="inlineStr">
        <is>
          <t>Alinity i STAT HS Troponin-I Reagente</t>
        </is>
      </c>
      <c r="H142" s="123" t="n">
        <v>200</v>
      </c>
      <c r="I142" s="123" t="inlineStr">
        <is>
          <t>2x100</t>
        </is>
      </c>
      <c r="J142" s="125" t="n"/>
      <c r="K142" s="123" t="n"/>
      <c r="L142" s="126" t="n"/>
      <c r="M142" s="127" t="n"/>
    </row>
    <row r="143" ht="14.25" customHeight="1" s="113">
      <c r="A143" s="133" t="inlineStr">
        <is>
          <t>IA</t>
        </is>
      </c>
      <c r="B143" s="133" t="inlineStr">
        <is>
          <t>RGT</t>
        </is>
      </c>
      <c r="C143" s="116" t="inlineStr">
        <is>
          <t>TSH</t>
        </is>
      </c>
      <c r="D143" s="134" t="inlineStr">
        <is>
          <t>TSH</t>
        </is>
      </c>
      <c r="E143" s="133" t="inlineStr">
        <is>
          <t>7P4830</t>
        </is>
      </c>
      <c r="F143" s="118" t="n"/>
      <c r="G143" s="133" t="inlineStr">
        <is>
          <t>Alinity i TSH Reagente</t>
        </is>
      </c>
      <c r="H143" s="133" t="n">
        <v>1200</v>
      </c>
      <c r="I143" s="133" t="inlineStr">
        <is>
          <t>2x600</t>
        </is>
      </c>
      <c r="J143" s="119">
        <f>VLOOKUP(D143,[1]Sheet2!$A$5:$E$146,5,FALSE())</f>
        <v/>
      </c>
      <c r="K143" s="133" t="n"/>
      <c r="L143" s="116" t="n">
        <v>6000</v>
      </c>
      <c r="M143" s="135">
        <f>L143/H143</f>
        <v/>
      </c>
    </row>
    <row r="144" ht="14.25" customHeight="1" s="113">
      <c r="A144" s="144" t="inlineStr">
        <is>
          <t>IA</t>
        </is>
      </c>
      <c r="B144" s="144" t="inlineStr">
        <is>
          <t>RGT</t>
        </is>
      </c>
      <c r="C144" s="150" t="inlineStr">
        <is>
          <t>UCH-L1</t>
        </is>
      </c>
      <c r="D144" s="151" t="n"/>
      <c r="E144" s="144" t="inlineStr">
        <is>
          <t>4W1920</t>
        </is>
      </c>
      <c r="F144" s="118" t="n"/>
      <c r="G144" s="144" t="inlineStr">
        <is>
          <t>Alinity i UCH-L1 (TBI) Reagente</t>
        </is>
      </c>
      <c r="H144" s="115" t="n">
        <v>200</v>
      </c>
      <c r="I144" s="115" t="inlineStr">
        <is>
          <t>2x100</t>
        </is>
      </c>
      <c r="J144" s="119">
        <f>VLOOKUP(D144,[1]Sheet2!$A$5:$E$146,5,FALSE())</f>
        <v/>
      </c>
      <c r="K144" s="115" t="n"/>
      <c r="L144" s="121" t="inlineStr">
        <is>
          <t>…..</t>
        </is>
      </c>
      <c r="M144" s="122" t="inlineStr">
        <is>
          <t>…..</t>
        </is>
      </c>
    </row>
    <row r="145" ht="25.35" customHeight="1" s="113">
      <c r="A145" s="133">
        <f>IF(_xlfn.NUMBERVALUE(SEARCH("Alinity c",G145)),"CC","IA")</f>
        <v/>
      </c>
      <c r="B145" s="133" t="inlineStr">
        <is>
          <t>RGT</t>
        </is>
      </c>
      <c r="C145" s="116" t="inlineStr">
        <is>
          <t>URICEMIA</t>
        </is>
      </c>
      <c r="D145" s="134" t="inlineStr">
        <is>
          <t>Uric2+Uric2-U</t>
        </is>
      </c>
      <c r="E145" s="133" t="inlineStr">
        <is>
          <t>4U0930</t>
        </is>
      </c>
      <c r="F145" s="118" t="n"/>
      <c r="G145" s="133" t="inlineStr">
        <is>
          <t>Alinity c Acido Urico 2 Reagente</t>
        </is>
      </c>
      <c r="H145" s="133" t="n">
        <v>2000</v>
      </c>
      <c r="I145" s="133" t="inlineStr">
        <is>
          <t>4x500</t>
        </is>
      </c>
      <c r="J145" s="119" t="n">
        <v>6400</v>
      </c>
      <c r="K145" s="133" t="n"/>
      <c r="L145" s="116" t="n">
        <v>7000</v>
      </c>
      <c r="M145" s="135">
        <f>L145/H145</f>
        <v/>
      </c>
    </row>
    <row r="146" ht="14.25" customHeight="1" s="113">
      <c r="A146" s="115" t="inlineStr">
        <is>
          <t>IA</t>
        </is>
      </c>
      <c r="B146" s="115" t="inlineStr">
        <is>
          <t>RGT</t>
        </is>
      </c>
      <c r="C146" s="116" t="inlineStr">
        <is>
          <t>VITAMINA B12</t>
        </is>
      </c>
      <c r="D146" s="117" t="inlineStr">
        <is>
          <t>VitaminB12</t>
        </is>
      </c>
      <c r="E146" s="115" t="inlineStr">
        <is>
          <t>7P6732</t>
        </is>
      </c>
      <c r="F146" s="118" t="n"/>
      <c r="G146" s="115" t="inlineStr">
        <is>
          <t>Alinity i B12 Reagente</t>
        </is>
      </c>
      <c r="H146" s="115" t="n">
        <v>1200</v>
      </c>
      <c r="I146" s="115" t="inlineStr">
        <is>
          <t>2x600</t>
        </is>
      </c>
      <c r="J146" s="119">
        <f>VLOOKUP(D146,[1]Sheet2!$A$5:$E$146,5,FALSE())</f>
        <v/>
      </c>
      <c r="K146" s="115" t="n"/>
      <c r="L146" s="116" t="n">
        <v>2400</v>
      </c>
      <c r="M146" s="120">
        <f>L146/H146</f>
        <v/>
      </c>
    </row>
    <row r="147" ht="14.25" customHeight="1" s="113">
      <c r="A147" s="133" t="inlineStr">
        <is>
          <t>IA</t>
        </is>
      </c>
      <c r="B147" s="133" t="inlineStr">
        <is>
          <t>RGT</t>
        </is>
      </c>
      <c r="C147" s="116" t="inlineStr">
        <is>
          <t>VITAMINA D</t>
        </is>
      </c>
      <c r="D147" s="134" t="inlineStr">
        <is>
          <t>Vit D25OH</t>
        </is>
      </c>
      <c r="E147" s="133" t="inlineStr">
        <is>
          <t>8P4532</t>
        </is>
      </c>
      <c r="F147" s="118" t="n"/>
      <c r="G147" s="133" t="inlineStr">
        <is>
          <t>Alinity i 25-OH Vit D Reagente</t>
        </is>
      </c>
      <c r="H147" s="133" t="n">
        <v>1000</v>
      </c>
      <c r="I147" s="133" t="inlineStr">
        <is>
          <t>2x500</t>
        </is>
      </c>
      <c r="J147" s="119">
        <f>VLOOKUP(D147,[1]Sheet2!$A$5:$E$146,5,FALSE())</f>
        <v/>
      </c>
      <c r="K147" s="133" t="n"/>
      <c r="L147" s="116" t="n">
        <v>5000</v>
      </c>
      <c r="M147" s="135">
        <f>L147/H147</f>
        <v/>
      </c>
    </row>
    <row r="148" ht="14.25" customHeight="1" s="113">
      <c r="A148" s="115" t="inlineStr">
        <is>
          <t>CC</t>
        </is>
      </c>
      <c r="B148" s="115" t="inlineStr">
        <is>
          <t>RGT</t>
        </is>
      </c>
      <c r="C148" s="116" t="inlineStr">
        <is>
          <t>ZINCO</t>
        </is>
      </c>
      <c r="D148" s="142" t="n"/>
      <c r="E148" s="115" t="inlineStr">
        <is>
          <t>0L10601</t>
        </is>
      </c>
      <c r="F148" s="118" t="n"/>
      <c r="G148" s="115" t="inlineStr">
        <is>
          <t>Alinity c Zinco Reagente</t>
        </is>
      </c>
      <c r="H148" s="115" t="n">
        <v>250</v>
      </c>
      <c r="I148" s="115" t="n">
        <v>250</v>
      </c>
      <c r="J148" s="115" t="n"/>
      <c r="K148" s="115" t="n"/>
      <c r="L148" s="121" t="inlineStr">
        <is>
          <t>…..</t>
        </is>
      </c>
      <c r="M148" s="122" t="inlineStr">
        <is>
          <t>…..</t>
        </is>
      </c>
    </row>
    <row r="149" ht="14.25" customHeight="1" s="113">
      <c r="A149" s="156" t="inlineStr">
        <is>
          <t>IA</t>
        </is>
      </c>
      <c r="B149" s="156" t="inlineStr">
        <is>
          <t>RGT Aux</t>
        </is>
      </c>
      <c r="C149" s="157" t="inlineStr">
        <is>
          <t>GALECTINA-3</t>
        </is>
      </c>
      <c r="D149" s="158" t="n"/>
      <c r="E149" s="156" t="inlineStr">
        <is>
          <t>9P6022</t>
        </is>
      </c>
      <c r="F149" s="159" t="n"/>
      <c r="G149" s="156" t="inlineStr">
        <is>
          <t>Alinity i Galectina-3 Reagente</t>
        </is>
      </c>
      <c r="H149" s="156" t="n">
        <v>200</v>
      </c>
      <c r="I149" s="156" t="inlineStr">
        <is>
          <t>2x100</t>
        </is>
      </c>
      <c r="J149" s="115" t="n"/>
      <c r="K149" s="156" t="n"/>
      <c r="L149" s="121" t="inlineStr">
        <is>
          <t>…..</t>
        </is>
      </c>
      <c r="M149" s="122" t="inlineStr">
        <is>
          <t>…..</t>
        </is>
      </c>
    </row>
    <row r="150" ht="14.25" customHeight="1" s="113">
      <c r="A150" s="156" t="inlineStr">
        <is>
          <t>IA</t>
        </is>
      </c>
      <c r="B150" s="156" t="inlineStr">
        <is>
          <t>RGT Aux</t>
        </is>
      </c>
      <c r="C150" s="157" t="inlineStr">
        <is>
          <t>PEPSINOGENO I</t>
        </is>
      </c>
      <c r="D150" s="158" t="n"/>
      <c r="E150" s="156" t="inlineStr">
        <is>
          <t>9P2422</t>
        </is>
      </c>
      <c r="F150" s="159" t="n"/>
      <c r="G150" s="156" t="inlineStr">
        <is>
          <t>Alinity i Pepsinogeno I Reagente</t>
        </is>
      </c>
      <c r="H150" s="156" t="n">
        <v>200</v>
      </c>
      <c r="I150" s="156" t="inlineStr">
        <is>
          <t>2x100</t>
        </is>
      </c>
      <c r="J150" s="115" t="n"/>
      <c r="K150" s="156" t="n"/>
      <c r="L150" s="121" t="inlineStr">
        <is>
          <t>…..</t>
        </is>
      </c>
      <c r="M150" s="122" t="inlineStr">
        <is>
          <t>…..</t>
        </is>
      </c>
    </row>
    <row r="151" ht="14.25" customHeight="1" s="113">
      <c r="A151" s="156" t="inlineStr">
        <is>
          <t>IA</t>
        </is>
      </c>
      <c r="B151" s="156" t="inlineStr">
        <is>
          <t>RGT Aux</t>
        </is>
      </c>
      <c r="C151" s="157" t="inlineStr">
        <is>
          <t>PEPSINOGENO II</t>
        </is>
      </c>
      <c r="D151" s="158" t="n"/>
      <c r="E151" s="156" t="inlineStr">
        <is>
          <t>9P2522</t>
        </is>
      </c>
      <c r="F151" s="159" t="n"/>
      <c r="G151" s="156" t="inlineStr">
        <is>
          <t>Alinity i Pepsinogeno II Reagente</t>
        </is>
      </c>
      <c r="H151" s="156" t="n">
        <v>200</v>
      </c>
      <c r="I151" s="156" t="inlineStr">
        <is>
          <t>2x100</t>
        </is>
      </c>
      <c r="J151" s="115" t="n"/>
      <c r="K151" s="156" t="n"/>
      <c r="L151" s="121" t="inlineStr">
        <is>
          <t>…..</t>
        </is>
      </c>
      <c r="M151" s="122" t="inlineStr">
        <is>
          <t>…..</t>
        </is>
      </c>
    </row>
    <row r="152" ht="14.25" customHeight="1" s="113">
      <c r="A152" s="156" t="inlineStr">
        <is>
          <t>IA</t>
        </is>
      </c>
      <c r="B152" s="156" t="inlineStr">
        <is>
          <t>RGT Aux</t>
        </is>
      </c>
      <c r="C152" s="157" t="inlineStr">
        <is>
          <t>CHAGAS</t>
        </is>
      </c>
      <c r="D152" s="158" t="n"/>
      <c r="E152" s="156" t="inlineStr">
        <is>
          <t>9P1922</t>
        </is>
      </c>
      <c r="F152" s="159" t="n"/>
      <c r="G152" s="156" t="inlineStr">
        <is>
          <t>Alinity i Chagas Reagente</t>
        </is>
      </c>
      <c r="H152" s="156" t="n">
        <v>200</v>
      </c>
      <c r="I152" s="156" t="inlineStr">
        <is>
          <t>2x100</t>
        </is>
      </c>
      <c r="J152" s="115" t="n"/>
      <c r="K152" s="156" t="n"/>
      <c r="L152" s="121" t="inlineStr">
        <is>
          <t>…..</t>
        </is>
      </c>
      <c r="M152" s="122" t="inlineStr">
        <is>
          <t>…..</t>
        </is>
      </c>
    </row>
    <row r="153" ht="14.25" customHeight="1" s="113">
      <c r="A153" s="156" t="inlineStr">
        <is>
          <t>IA</t>
        </is>
      </c>
      <c r="B153" s="156" t="inlineStr">
        <is>
          <t>RGT Aux</t>
        </is>
      </c>
      <c r="C153" s="157" t="inlineStr">
        <is>
          <t>PIVKA</t>
        </is>
      </c>
      <c r="D153" s="158" t="n"/>
      <c r="E153" s="156" t="inlineStr">
        <is>
          <t>1R1722</t>
        </is>
      </c>
      <c r="F153" s="159" t="n"/>
      <c r="G153" s="156" t="inlineStr">
        <is>
          <t>Alinity i PIVKA  II Reagente</t>
        </is>
      </c>
      <c r="H153" s="156" t="n">
        <v>200</v>
      </c>
      <c r="I153" s="156" t="inlineStr">
        <is>
          <t>2x100</t>
        </is>
      </c>
      <c r="J153" s="115" t="n"/>
      <c r="K153" s="156" t="n"/>
      <c r="L153" s="121" t="inlineStr">
        <is>
          <t>…..</t>
        </is>
      </c>
      <c r="M153" s="122" t="inlineStr">
        <is>
          <t>…..</t>
        </is>
      </c>
    </row>
    <row r="154" ht="14.25" customHeight="1" s="113">
      <c r="A154" s="156" t="inlineStr">
        <is>
          <t>IA</t>
        </is>
      </c>
      <c r="B154" s="156" t="inlineStr">
        <is>
          <t>RGT Aux</t>
        </is>
      </c>
      <c r="C154" s="157" t="inlineStr">
        <is>
          <t>ProGRP</t>
        </is>
      </c>
      <c r="D154" s="158" t="n"/>
      <c r="E154" s="156" t="inlineStr">
        <is>
          <t>9P3222</t>
        </is>
      </c>
      <c r="F154" s="159" t="n"/>
      <c r="G154" s="156" t="inlineStr">
        <is>
          <t>Alinity i ProGRP Reagente</t>
        </is>
      </c>
      <c r="H154" s="156" t="n">
        <v>200</v>
      </c>
      <c r="I154" s="156" t="inlineStr">
        <is>
          <t>2x100</t>
        </is>
      </c>
      <c r="J154" s="115" t="n"/>
      <c r="K154" s="156" t="n"/>
      <c r="L154" s="121" t="inlineStr">
        <is>
          <t>…..</t>
        </is>
      </c>
      <c r="M154" s="122" t="inlineStr">
        <is>
          <t>…..</t>
        </is>
      </c>
    </row>
    <row r="155" ht="14.25" customHeight="1" s="113">
      <c r="A155" s="156" t="inlineStr">
        <is>
          <t>IA</t>
        </is>
      </c>
      <c r="B155" s="156" t="inlineStr">
        <is>
          <t>RGT Aux</t>
        </is>
      </c>
      <c r="C155" s="157" t="inlineStr">
        <is>
          <t>NSE</t>
        </is>
      </c>
      <c r="D155" s="158" t="n"/>
      <c r="E155" s="156" t="inlineStr">
        <is>
          <t>1R1922</t>
        </is>
      </c>
      <c r="F155" s="159" t="n"/>
      <c r="G155" s="156" t="inlineStr">
        <is>
          <t>Alinity i NSE Reagenti</t>
        </is>
      </c>
      <c r="H155" s="156" t="n">
        <v>200</v>
      </c>
      <c r="I155" s="156" t="inlineStr">
        <is>
          <t>2x100</t>
        </is>
      </c>
      <c r="J155" s="115" t="n"/>
      <c r="K155" s="156" t="n"/>
      <c r="L155" s="121" t="inlineStr">
        <is>
          <t>…..</t>
        </is>
      </c>
      <c r="M155" s="122" t="inlineStr">
        <is>
          <t>…..</t>
        </is>
      </c>
    </row>
    <row r="156" ht="14.25" customHeight="1" s="113">
      <c r="A156" s="156" t="inlineStr">
        <is>
          <t>IA</t>
        </is>
      </c>
      <c r="B156" s="156" t="inlineStr">
        <is>
          <t>RGT Aux</t>
        </is>
      </c>
      <c r="C156" s="157" t="inlineStr">
        <is>
          <t>CYFRA 21-1</t>
        </is>
      </c>
      <c r="D156" s="158" t="n"/>
      <c r="E156" s="156" t="inlineStr">
        <is>
          <t>9P4022</t>
        </is>
      </c>
      <c r="F156" s="159" t="n"/>
      <c r="G156" s="156" t="inlineStr">
        <is>
          <t>Alinity i Cyfra 21.1 Reagente</t>
        </is>
      </c>
      <c r="H156" s="156" t="n">
        <v>200</v>
      </c>
      <c r="I156" s="156" t="inlineStr">
        <is>
          <t>2x100</t>
        </is>
      </c>
      <c r="J156" s="115" t="n"/>
      <c r="K156" s="156" t="n"/>
      <c r="L156" s="121" t="inlineStr">
        <is>
          <t>…..</t>
        </is>
      </c>
      <c r="M156" s="122" t="inlineStr">
        <is>
          <t>…..</t>
        </is>
      </c>
    </row>
    <row r="157" ht="14.25" customHeight="1" s="113">
      <c r="A157" s="156" t="inlineStr">
        <is>
          <t>IA</t>
        </is>
      </c>
      <c r="B157" s="156" t="inlineStr">
        <is>
          <t>RGT Aux</t>
        </is>
      </c>
      <c r="C157" s="157" t="inlineStr">
        <is>
          <t>SCC</t>
        </is>
      </c>
      <c r="D157" s="158" t="n"/>
      <c r="E157" s="156" t="inlineStr">
        <is>
          <t>9P3322</t>
        </is>
      </c>
      <c r="F157" s="159" t="n"/>
      <c r="G157" s="156" t="inlineStr">
        <is>
          <t>Alinity i SCC Reagente</t>
        </is>
      </c>
      <c r="H157" s="156" t="n">
        <v>200</v>
      </c>
      <c r="I157" s="156" t="inlineStr">
        <is>
          <t>2x100</t>
        </is>
      </c>
      <c r="J157" s="115" t="n"/>
      <c r="K157" s="156" t="n"/>
      <c r="L157" s="121" t="inlineStr">
        <is>
          <t>…..</t>
        </is>
      </c>
      <c r="M157" s="122" t="inlineStr">
        <is>
          <t>…..</t>
        </is>
      </c>
    </row>
    <row r="158" ht="14.25" customHeight="1" s="113">
      <c r="A158" s="160" t="inlineStr">
        <is>
          <t>IA</t>
        </is>
      </c>
      <c r="B158" s="160" t="inlineStr">
        <is>
          <t>Cons</t>
        </is>
      </c>
      <c r="C158" s="161" t="n"/>
      <c r="D158" s="161" t="n"/>
      <c r="E158" s="160" t="inlineStr">
        <is>
          <t>6P1368</t>
        </is>
      </c>
      <c r="F158" s="118" t="n"/>
      <c r="G158" s="160" t="inlineStr">
        <is>
          <t>Alinity i Concentrated Wash Buffer</t>
        </is>
      </c>
      <c r="H158" s="160" t="inlineStr">
        <is>
          <t>2x2 L</t>
        </is>
      </c>
      <c r="I158" s="160" t="n"/>
      <c r="J158" s="115" t="n"/>
      <c r="K158" s="160" t="n"/>
      <c r="L158" s="161" t="n"/>
      <c r="M158" s="162" t="n">
        <v>75</v>
      </c>
    </row>
    <row r="159" ht="14.25" customHeight="1" s="113">
      <c r="A159" s="115" t="inlineStr">
        <is>
          <t>IA</t>
        </is>
      </c>
      <c r="B159" s="115" t="inlineStr">
        <is>
          <t>Cons</t>
        </is>
      </c>
      <c r="C159" s="116" t="n"/>
      <c r="D159" s="142" t="n"/>
      <c r="E159" s="115" t="inlineStr">
        <is>
          <t>6P1270</t>
        </is>
      </c>
      <c r="F159" s="118" t="n"/>
      <c r="G159" s="115" t="inlineStr">
        <is>
          <t>Alinity i Pre-Trigger Solution</t>
        </is>
      </c>
      <c r="H159" s="115" t="inlineStr">
        <is>
          <t>4 x 975 mL</t>
        </is>
      </c>
      <c r="I159" s="115" t="n"/>
      <c r="J159" s="115" t="n"/>
      <c r="K159" s="115" t="n"/>
      <c r="L159" s="142" t="n"/>
      <c r="M159" s="163" t="inlineStr">
        <is>
          <t>12/15</t>
        </is>
      </c>
    </row>
    <row r="160" ht="14.25" customHeight="1" s="113">
      <c r="A160" s="115" t="inlineStr">
        <is>
          <t>IA</t>
        </is>
      </c>
      <c r="B160" s="115" t="inlineStr">
        <is>
          <t>Cons</t>
        </is>
      </c>
      <c r="C160" s="116" t="n"/>
      <c r="D160" s="142" t="n"/>
      <c r="E160" s="115" t="inlineStr">
        <is>
          <t>1R5840</t>
        </is>
      </c>
      <c r="F160" s="118" t="n"/>
      <c r="G160" s="115" t="inlineStr">
        <is>
          <t>Alinity i Probe Conditioning Solution</t>
        </is>
      </c>
      <c r="H160" s="115" t="inlineStr">
        <is>
          <t>2 x 50 mL</t>
        </is>
      </c>
      <c r="I160" s="115" t="n"/>
      <c r="J160" s="115" t="n"/>
      <c r="K160" s="115" t="n"/>
      <c r="L160" s="142" t="n"/>
      <c r="M160" s="164" t="n">
        <v>2</v>
      </c>
    </row>
    <row r="161" ht="14.25" customHeight="1" s="113">
      <c r="A161" s="115" t="inlineStr">
        <is>
          <t>IA</t>
        </is>
      </c>
      <c r="B161" s="115" t="inlineStr">
        <is>
          <t>Cons</t>
        </is>
      </c>
      <c r="C161" s="116" t="n"/>
      <c r="D161" s="142" t="n"/>
      <c r="E161" s="115" t="inlineStr">
        <is>
          <t>6P1401</t>
        </is>
      </c>
      <c r="F161" s="118" t="n"/>
      <c r="G161" s="115" t="inlineStr">
        <is>
          <t>Alinity i Reaction Vessels</t>
        </is>
      </c>
      <c r="H161" s="115" t="inlineStr">
        <is>
          <t>4000 pz.</t>
        </is>
      </c>
      <c r="I161" s="115" t="n"/>
      <c r="J161" s="115" t="n"/>
      <c r="K161" s="115" t="n"/>
      <c r="L161" s="142" t="n"/>
      <c r="M161" s="164" t="inlineStr">
        <is>
          <t>?</t>
        </is>
      </c>
    </row>
    <row r="162" ht="14.25" customHeight="1" s="113">
      <c r="A162" s="115" t="inlineStr">
        <is>
          <t>IA</t>
        </is>
      </c>
      <c r="B162" s="115" t="inlineStr">
        <is>
          <t>Cons</t>
        </is>
      </c>
      <c r="C162" s="116" t="n"/>
      <c r="D162" s="142" t="n"/>
      <c r="E162" s="115" t="inlineStr">
        <is>
          <t>4R4701</t>
        </is>
      </c>
      <c r="F162" s="118" t="n"/>
      <c r="G162" s="115" t="inlineStr">
        <is>
          <t>Alinity i Replacement Caps</t>
        </is>
      </c>
      <c r="H162" s="115" t="inlineStr">
        <is>
          <t>100 pz.</t>
        </is>
      </c>
      <c r="I162" s="115" t="n"/>
      <c r="J162" s="115" t="n"/>
      <c r="K162" s="115" t="n"/>
      <c r="L162" s="142" t="n"/>
      <c r="M162" s="164" t="inlineStr">
        <is>
          <t>?</t>
        </is>
      </c>
    </row>
    <row r="163" ht="14.25" customHeight="1" s="113">
      <c r="A163" s="115" t="inlineStr">
        <is>
          <t>IA</t>
        </is>
      </c>
      <c r="B163" s="115" t="inlineStr">
        <is>
          <t>Cons</t>
        </is>
      </c>
      <c r="C163" s="116" t="n"/>
      <c r="D163" s="142" t="n"/>
      <c r="E163" s="115" t="inlineStr">
        <is>
          <t>1R3801</t>
        </is>
      </c>
      <c r="F163" s="118" t="n"/>
      <c r="G163" s="115" t="inlineStr">
        <is>
          <t>Alinity i Sample Cups</t>
        </is>
      </c>
      <c r="H163" s="115" t="inlineStr">
        <is>
          <t>1000 pz.</t>
        </is>
      </c>
      <c r="I163" s="115" t="n"/>
      <c r="J163" s="115" t="n"/>
      <c r="K163" s="115" t="n"/>
      <c r="L163" s="142" t="n"/>
      <c r="M163" s="164" t="inlineStr">
        <is>
          <t>?</t>
        </is>
      </c>
    </row>
    <row r="164" ht="14.25" customHeight="1" s="113">
      <c r="A164" s="115" t="inlineStr">
        <is>
          <t>IA</t>
        </is>
      </c>
      <c r="B164" s="115" t="inlineStr">
        <is>
          <t>Cons</t>
        </is>
      </c>
      <c r="C164" s="116" t="n"/>
      <c r="D164" s="142" t="n"/>
      <c r="E164" s="115" t="inlineStr">
        <is>
          <t>6P1170</t>
        </is>
      </c>
      <c r="F164" s="118" t="n"/>
      <c r="G164" s="115" t="inlineStr">
        <is>
          <t>Alinity i Trigger Solution</t>
        </is>
      </c>
      <c r="H164" s="115" t="inlineStr">
        <is>
          <t>4 x 975 mL</t>
        </is>
      </c>
      <c r="I164" s="115" t="n"/>
      <c r="J164" s="115" t="n"/>
      <c r="K164" s="115" t="n"/>
      <c r="L164" s="142" t="n"/>
      <c r="M164" s="164" t="n">
        <v>18</v>
      </c>
    </row>
    <row r="165" ht="14.25" customHeight="1" s="113">
      <c r="A165" s="115" t="inlineStr">
        <is>
          <t>IA</t>
        </is>
      </c>
      <c r="B165" s="115" t="inlineStr">
        <is>
          <t>Cons</t>
        </is>
      </c>
      <c r="C165" s="116" t="n"/>
      <c r="D165" s="142" t="n"/>
      <c r="E165" s="115" t="inlineStr">
        <is>
          <t>3R9601</t>
        </is>
      </c>
      <c r="F165" s="118" t="n"/>
      <c r="G165" s="115" t="inlineStr">
        <is>
          <t>Alinity i aghi braccio aspirazione</t>
        </is>
      </c>
      <c r="H165" s="115" t="inlineStr">
        <is>
          <t>2 pz.</t>
        </is>
      </c>
      <c r="I165" s="115" t="n"/>
      <c r="J165" s="115" t="n"/>
      <c r="K165" s="115" t="n"/>
      <c r="L165" s="142" t="n"/>
      <c r="M165" s="164" t="inlineStr">
        <is>
          <t>?</t>
        </is>
      </c>
    </row>
    <row r="166" ht="14.25" customHeight="1" s="113">
      <c r="A166" s="115" t="inlineStr">
        <is>
          <t>IA</t>
        </is>
      </c>
      <c r="B166" s="115" t="inlineStr">
        <is>
          <t>Cons</t>
        </is>
      </c>
      <c r="C166" s="116" t="n"/>
      <c r="D166" s="142" t="n"/>
      <c r="E166" s="115" t="inlineStr">
        <is>
          <t>8C9436</t>
        </is>
      </c>
      <c r="F166" s="118" t="n"/>
      <c r="G166" s="115" t="inlineStr">
        <is>
          <t>Alinity i probe wash zone</t>
        </is>
      </c>
      <c r="H166" s="115" t="inlineStr">
        <is>
          <t>1 pz.</t>
        </is>
      </c>
      <c r="I166" s="115" t="n"/>
      <c r="J166" s="115" t="n"/>
      <c r="K166" s="115" t="n"/>
      <c r="L166" s="142" t="n"/>
      <c r="M166" s="164" t="inlineStr">
        <is>
          <t>?</t>
        </is>
      </c>
    </row>
    <row r="167" ht="14.25" customHeight="1" s="113">
      <c r="A167" s="115" t="inlineStr">
        <is>
          <t>IA</t>
        </is>
      </c>
      <c r="B167" s="115" t="inlineStr">
        <is>
          <t>Cons</t>
        </is>
      </c>
      <c r="C167" s="116" t="n"/>
      <c r="D167" s="142" t="n"/>
      <c r="E167" s="115" t="inlineStr">
        <is>
          <t>4S6002</t>
        </is>
      </c>
      <c r="F167" s="118" t="n"/>
      <c r="G167" s="115" t="inlineStr">
        <is>
          <t>Alinty i Probe Tubing, Wash Zone</t>
        </is>
      </c>
      <c r="H167" s="115" t="inlineStr">
        <is>
          <t>6 pz.</t>
        </is>
      </c>
      <c r="I167" s="115" t="n"/>
      <c r="J167" s="115" t="n"/>
      <c r="K167" s="115" t="n"/>
      <c r="L167" s="142" t="n"/>
      <c r="M167" s="164" t="inlineStr">
        <is>
          <t>?</t>
        </is>
      </c>
    </row>
    <row r="168" ht="14.25" customHeight="1" s="113">
      <c r="A168" s="115" t="inlineStr">
        <is>
          <t>IA</t>
        </is>
      </c>
      <c r="B168" s="115" t="inlineStr">
        <is>
          <t>Cons</t>
        </is>
      </c>
      <c r="C168" s="116" t="n"/>
      <c r="D168" s="142" t="n"/>
      <c r="E168" s="115" t="inlineStr">
        <is>
          <t>4S6101</t>
        </is>
      </c>
      <c r="F168" s="118" t="n"/>
      <c r="G168" s="115" t="inlineStr">
        <is>
          <t>Alinity i Probe Tubing, Waste Aspirate</t>
        </is>
      </c>
      <c r="H168" s="115" t="inlineStr">
        <is>
          <t>1 pz.</t>
        </is>
      </c>
      <c r="I168" s="115" t="n"/>
      <c r="J168" s="115" t="n"/>
      <c r="K168" s="115" t="n"/>
      <c r="L168" s="142" t="n"/>
      <c r="M168" s="164" t="inlineStr">
        <is>
          <t>?</t>
        </is>
      </c>
    </row>
    <row r="169" ht="14.25" customHeight="1" s="113">
      <c r="A169" s="115" t="inlineStr">
        <is>
          <t>IA</t>
        </is>
      </c>
      <c r="B169" s="115" t="inlineStr">
        <is>
          <t>Cons</t>
        </is>
      </c>
      <c r="C169" s="116" t="n"/>
      <c r="D169" s="142" t="n"/>
      <c r="E169" s="115" t="inlineStr">
        <is>
          <t>4S6202</t>
        </is>
      </c>
      <c r="F169" s="118" t="n"/>
      <c r="G169" s="115" t="inlineStr">
        <is>
          <t>Alinity i Baffle, Wash Cup</t>
        </is>
      </c>
      <c r="H169" s="115" t="inlineStr">
        <is>
          <t>3 pz.</t>
        </is>
      </c>
      <c r="I169" s="115" t="n"/>
      <c r="J169" s="115" t="n"/>
      <c r="K169" s="115" t="n"/>
      <c r="L169" s="142" t="n"/>
      <c r="M169" s="164" t="inlineStr">
        <is>
          <t>?</t>
        </is>
      </c>
    </row>
    <row r="170" ht="14.25" customHeight="1" s="113">
      <c r="A170" s="115" t="inlineStr">
        <is>
          <t>IA</t>
        </is>
      </c>
      <c r="B170" s="115" t="inlineStr">
        <is>
          <t>Cons</t>
        </is>
      </c>
      <c r="C170" s="116" t="n"/>
      <c r="D170" s="142" t="n"/>
      <c r="E170" s="115" t="inlineStr">
        <is>
          <t>4S6805</t>
        </is>
      </c>
      <c r="F170" s="118" t="n"/>
      <c r="G170" s="115" t="inlineStr">
        <is>
          <t>Alinity i Level Sensor, Bulk Solution</t>
        </is>
      </c>
      <c r="H170" s="115" t="inlineStr">
        <is>
          <t>1 pz.</t>
        </is>
      </c>
      <c r="I170" s="115" t="n"/>
      <c r="J170" s="115" t="n"/>
      <c r="K170" s="115" t="n"/>
      <c r="L170" s="142" t="n"/>
      <c r="M170" s="164" t="inlineStr">
        <is>
          <t>?</t>
        </is>
      </c>
    </row>
    <row r="171" ht="14.25" customHeight="1" s="113">
      <c r="A171" s="115" t="inlineStr">
        <is>
          <t>IA</t>
        </is>
      </c>
      <c r="B171" s="115" t="inlineStr">
        <is>
          <t>Cons</t>
        </is>
      </c>
      <c r="C171" s="116" t="n"/>
      <c r="D171" s="142" t="n"/>
      <c r="E171" s="115" t="inlineStr">
        <is>
          <t>4S6902</t>
        </is>
      </c>
      <c r="F171" s="118" t="n"/>
      <c r="G171" s="115" t="inlineStr">
        <is>
          <t>Alinity i Level Sensor, Diluted Wash Buffer</t>
        </is>
      </c>
      <c r="H171" s="115" t="inlineStr">
        <is>
          <t>1 pz.</t>
        </is>
      </c>
      <c r="I171" s="115" t="n"/>
      <c r="J171" s="115" t="n"/>
      <c r="K171" s="115" t="n"/>
      <c r="L171" s="142" t="n"/>
      <c r="M171" s="164" t="inlineStr">
        <is>
          <t>?</t>
        </is>
      </c>
    </row>
    <row r="172" ht="14.25" customHeight="1" s="113">
      <c r="A172" s="115" t="inlineStr">
        <is>
          <t>?</t>
        </is>
      </c>
      <c r="B172" s="115" t="inlineStr">
        <is>
          <t>?</t>
        </is>
      </c>
      <c r="C172" s="116" t="n"/>
      <c r="D172" s="142" t="n"/>
      <c r="E172" s="115" t="inlineStr">
        <is>
          <t>4T7301</t>
        </is>
      </c>
      <c r="F172" s="118" t="n"/>
      <c r="G172" s="115" t="inlineStr">
        <is>
          <t>Alinity Reagent Cool An.</t>
        </is>
      </c>
      <c r="H172" s="115" t="inlineStr">
        <is>
          <t>1 pz.</t>
        </is>
      </c>
      <c r="I172" s="115" t="n"/>
      <c r="J172" s="115" t="n"/>
      <c r="K172" s="115" t="n"/>
      <c r="L172" s="142" t="n"/>
      <c r="M172" s="164" t="inlineStr">
        <is>
          <t>?</t>
        </is>
      </c>
    </row>
    <row r="173" ht="14.25" customHeight="1" s="113">
      <c r="A173" s="115" t="inlineStr">
        <is>
          <t>IA</t>
        </is>
      </c>
      <c r="B173" s="115" t="inlineStr">
        <is>
          <t>Cal</t>
        </is>
      </c>
      <c r="C173" s="116" t="n"/>
      <c r="D173" s="142" t="n"/>
      <c r="E173" s="115" t="inlineStr">
        <is>
          <t>8P4501</t>
        </is>
      </c>
      <c r="F173" s="118" t="n"/>
      <c r="G173" s="115" t="inlineStr">
        <is>
          <t>25-OH Vitamin D Calibrator Kit (Alinity i)</t>
        </is>
      </c>
      <c r="H173" s="115" t="inlineStr">
        <is>
          <t>6 liv x 3 mL</t>
        </is>
      </c>
      <c r="I173" s="115" t="n"/>
      <c r="J173" s="115" t="n"/>
      <c r="K173" s="115" t="n"/>
      <c r="L173" s="142" t="n"/>
      <c r="M173" s="165" t="n"/>
    </row>
    <row r="174" ht="14.25" customHeight="1" s="113">
      <c r="A174" s="115" t="inlineStr">
        <is>
          <t>IA</t>
        </is>
      </c>
      <c r="B174" s="115" t="inlineStr">
        <is>
          <t>Cal</t>
        </is>
      </c>
      <c r="C174" s="116" t="n"/>
      <c r="D174" s="142" t="n"/>
      <c r="E174" s="115" t="inlineStr">
        <is>
          <t>7P9001</t>
        </is>
      </c>
      <c r="F174" s="118" t="n"/>
      <c r="G174" s="115" t="inlineStr">
        <is>
          <t>AFP Calibrator Kit (Alinity i)</t>
        </is>
      </c>
      <c r="H174" s="115" t="inlineStr">
        <is>
          <t>6 liv x 3 mL</t>
        </is>
      </c>
      <c r="I174" s="115" t="n"/>
      <c r="J174" s="115" t="n"/>
      <c r="K174" s="115" t="n"/>
      <c r="L174" s="142" t="n"/>
      <c r="M174" s="165" t="n"/>
    </row>
    <row r="175" ht="14.25" customHeight="1" s="113">
      <c r="A175" s="115" t="inlineStr">
        <is>
          <t>IA</t>
        </is>
      </c>
      <c r="B175" s="115" t="inlineStr">
        <is>
          <t>Cal</t>
        </is>
      </c>
      <c r="C175" s="116" t="n"/>
      <c r="D175" s="142" t="n"/>
      <c r="E175" s="115" t="inlineStr">
        <is>
          <t>7P8701</t>
        </is>
      </c>
      <c r="F175" s="118" t="n"/>
      <c r="G175" s="115" t="inlineStr">
        <is>
          <t>Anti-HBc Calibrator Kit (Alinity i)</t>
        </is>
      </c>
      <c r="H175" s="115" t="inlineStr">
        <is>
          <t>1 liv x 3 mL</t>
        </is>
      </c>
      <c r="I175" s="115" t="n"/>
      <c r="J175" s="115" t="n"/>
      <c r="K175" s="115" t="n"/>
      <c r="L175" s="142" t="n"/>
      <c r="M175" s="165" t="n"/>
    </row>
    <row r="176" ht="14.25" customHeight="1" s="113">
      <c r="A176" s="115" t="inlineStr">
        <is>
          <t>IA</t>
        </is>
      </c>
      <c r="B176" s="115" t="inlineStr">
        <is>
          <t>Cal</t>
        </is>
      </c>
      <c r="C176" s="116" t="n"/>
      <c r="D176" s="142" t="n"/>
      <c r="E176" s="115" t="inlineStr">
        <is>
          <t>7P8601</t>
        </is>
      </c>
      <c r="F176" s="118" t="n"/>
      <c r="G176" s="115" t="inlineStr">
        <is>
          <t>Anti-HBc IgM Calibrator Kit (Alinity i)</t>
        </is>
      </c>
      <c r="H176" s="115" t="inlineStr">
        <is>
          <t>2 liv x 3 mL</t>
        </is>
      </c>
      <c r="I176" s="115" t="n"/>
      <c r="J176" s="115" t="n"/>
      <c r="K176" s="115" t="n"/>
      <c r="L176" s="142" t="n"/>
      <c r="M176" s="165" t="n"/>
    </row>
    <row r="177" ht="14.25" customHeight="1" s="113">
      <c r="A177" s="115" t="inlineStr">
        <is>
          <t>IA</t>
        </is>
      </c>
      <c r="B177" s="115" t="inlineStr">
        <is>
          <t>Cal</t>
        </is>
      </c>
      <c r="C177" s="116" t="n"/>
      <c r="D177" s="142" t="n"/>
      <c r="E177" s="115" t="inlineStr">
        <is>
          <t>7P6301</t>
        </is>
      </c>
      <c r="F177" s="118" t="n"/>
      <c r="G177" s="115" t="inlineStr">
        <is>
          <t>Anti-HBe Calibrator Kit (Alinity i)</t>
        </is>
      </c>
      <c r="H177" s="115" t="inlineStr">
        <is>
          <t>1 liv x 3 mL</t>
        </is>
      </c>
      <c r="I177" s="115" t="n"/>
      <c r="J177" s="115" t="n"/>
      <c r="K177" s="115" t="n"/>
      <c r="L177" s="142" t="n"/>
      <c r="M177" s="165" t="n"/>
    </row>
    <row r="178" ht="14.25" customHeight="1" s="113">
      <c r="A178" s="115" t="inlineStr">
        <is>
          <t>IA</t>
        </is>
      </c>
      <c r="B178" s="115" t="inlineStr">
        <is>
          <t>Cal</t>
        </is>
      </c>
      <c r="C178" s="116" t="n"/>
      <c r="D178" s="142" t="n"/>
      <c r="E178" s="115" t="inlineStr">
        <is>
          <t>7P8901</t>
        </is>
      </c>
      <c r="F178" s="118" t="n"/>
      <c r="G178" s="115" t="inlineStr">
        <is>
          <t>Anti-HBs Calibrator Kit (Alinity i)</t>
        </is>
      </c>
      <c r="H178" s="115" t="inlineStr">
        <is>
          <t>6 liv x 3 mL</t>
        </is>
      </c>
      <c r="I178" s="115" t="n"/>
      <c r="J178" s="115" t="n"/>
      <c r="K178" s="115" t="n"/>
      <c r="L178" s="142" t="n"/>
      <c r="M178" s="165" t="n"/>
    </row>
    <row r="179" ht="14.25" customHeight="1" s="113">
      <c r="A179" s="115" t="inlineStr">
        <is>
          <t>IA</t>
        </is>
      </c>
      <c r="B179" s="115" t="inlineStr">
        <is>
          <t>Cal</t>
        </is>
      </c>
      <c r="C179" s="116" t="n"/>
      <c r="D179" s="142" t="n"/>
      <c r="E179" s="115" t="inlineStr">
        <is>
          <t>8P0602</t>
        </is>
      </c>
      <c r="F179" s="118" t="n"/>
      <c r="G179" s="115" t="inlineStr">
        <is>
          <t>Anti-HCV Calibrator Kit (Alinity i)</t>
        </is>
      </c>
      <c r="H179" s="115" t="inlineStr">
        <is>
          <t>1 liv x 3 mL</t>
        </is>
      </c>
      <c r="I179" s="115" t="n"/>
      <c r="J179" s="115" t="n"/>
      <c r="K179" s="115" t="n"/>
      <c r="L179" s="142" t="n"/>
      <c r="M179" s="165" t="n"/>
    </row>
    <row r="180" ht="14.25" customHeight="1" s="113">
      <c r="A180" s="115" t="inlineStr">
        <is>
          <t>IA</t>
        </is>
      </c>
      <c r="B180" s="115" t="inlineStr">
        <is>
          <t>Cal</t>
        </is>
      </c>
      <c r="C180" s="116" t="n"/>
      <c r="D180" s="142" t="n"/>
      <c r="E180" s="115" t="inlineStr">
        <is>
          <t>9P3401</t>
        </is>
      </c>
      <c r="F180" s="118" t="n"/>
      <c r="G180" s="115" t="inlineStr">
        <is>
          <t>Anti-TG Calibrator Kit (Alinity i)</t>
        </is>
      </c>
      <c r="H180" s="115" t="inlineStr">
        <is>
          <t>6x3 mL</t>
        </is>
      </c>
      <c r="I180" s="115" t="n"/>
      <c r="J180" s="115" t="n"/>
      <c r="K180" s="115" t="n"/>
      <c r="L180" s="142" t="n"/>
      <c r="M180" s="165" t="n"/>
    </row>
    <row r="181" ht="14.25" customHeight="1" s="113">
      <c r="A181" s="115" t="inlineStr">
        <is>
          <t>IA</t>
        </is>
      </c>
      <c r="B181" s="115" t="inlineStr">
        <is>
          <t>Cal</t>
        </is>
      </c>
      <c r="C181" s="116" t="n"/>
      <c r="D181" s="142" t="n"/>
      <c r="E181" s="115" t="inlineStr">
        <is>
          <t>9P3501</t>
        </is>
      </c>
      <c r="F181" s="118" t="n"/>
      <c r="G181" s="115" t="inlineStr">
        <is>
          <t>Anti-TPO Calibrator Kit (Alinity i)</t>
        </is>
      </c>
      <c r="H181" s="115" t="inlineStr">
        <is>
          <t>6x3 mL</t>
        </is>
      </c>
      <c r="I181" s="115" t="n"/>
      <c r="J181" s="115" t="n"/>
      <c r="K181" s="115" t="n"/>
      <c r="L181" s="142" t="n"/>
      <c r="M181" s="165" t="n"/>
    </row>
    <row r="182" ht="14.25" customHeight="1" s="113">
      <c r="A182" s="115" t="inlineStr">
        <is>
          <t>IA</t>
        </is>
      </c>
      <c r="B182" s="115" t="inlineStr">
        <is>
          <t>Cal</t>
        </is>
      </c>
      <c r="C182" s="116" t="n"/>
      <c r="D182" s="142" t="n"/>
      <c r="E182" s="115" t="inlineStr">
        <is>
          <t>7P6701</t>
        </is>
      </c>
      <c r="F182" s="118" t="n"/>
      <c r="G182" s="115" t="inlineStr">
        <is>
          <t>B12 Calibrator Kit (Alinity i)</t>
        </is>
      </c>
      <c r="H182" s="115" t="inlineStr">
        <is>
          <t>6x3 mL</t>
        </is>
      </c>
      <c r="I182" s="115" t="n"/>
      <c r="J182" s="115" t="n"/>
      <c r="K182" s="115" t="n"/>
      <c r="L182" s="142" t="n"/>
      <c r="M182" s="165" t="n"/>
    </row>
    <row r="183" ht="14.25" customHeight="1" s="113">
      <c r="A183" s="115" t="inlineStr">
        <is>
          <t>IA</t>
        </is>
      </c>
      <c r="B183" s="115" t="inlineStr">
        <is>
          <t>Cal</t>
        </is>
      </c>
      <c r="C183" s="116" t="n"/>
      <c r="D183" s="142" t="n"/>
      <c r="E183" s="115" t="inlineStr">
        <is>
          <t>8P2402</t>
        </is>
      </c>
      <c r="F183" s="118" t="n"/>
      <c r="G183" s="115" t="inlineStr">
        <is>
          <t>BNP Calibrator Kit (Alinity i)</t>
        </is>
      </c>
      <c r="H183" s="115" t="inlineStr">
        <is>
          <t>6 liv x 3 mL</t>
        </is>
      </c>
      <c r="I183" s="115" t="n"/>
      <c r="J183" s="115" t="n"/>
      <c r="K183" s="115" t="n"/>
      <c r="L183" s="142" t="n"/>
      <c r="M183" s="165" t="n"/>
    </row>
    <row r="184" ht="14.25" customHeight="1" s="113">
      <c r="A184" s="115" t="inlineStr">
        <is>
          <t>IA</t>
        </is>
      </c>
      <c r="B184" s="115" t="inlineStr">
        <is>
          <t>Cal</t>
        </is>
      </c>
      <c r="C184" s="116" t="n"/>
      <c r="D184" s="142" t="n"/>
      <c r="E184" s="115" t="inlineStr">
        <is>
          <t>1R1801</t>
        </is>
      </c>
      <c r="F184" s="118" t="n"/>
      <c r="G184" s="115" t="inlineStr">
        <is>
          <t>PCT Calibrator Kit (Alinity i)</t>
        </is>
      </c>
      <c r="H184" s="115" t="inlineStr">
        <is>
          <t>6x2 mL</t>
        </is>
      </c>
      <c r="I184" s="115" t="n"/>
      <c r="J184" s="115" t="n"/>
      <c r="K184" s="115" t="n"/>
      <c r="L184" s="142" t="n"/>
      <c r="M184" s="165" t="n"/>
    </row>
    <row r="185" ht="14.25" customHeight="1" s="113">
      <c r="A185" s="115" t="inlineStr">
        <is>
          <t>IA</t>
        </is>
      </c>
      <c r="B185" s="115" t="inlineStr">
        <is>
          <t>Cal</t>
        </is>
      </c>
      <c r="C185" s="116" t="n"/>
      <c r="D185" s="142" t="n"/>
      <c r="E185" s="115" t="inlineStr">
        <is>
          <t>8P4901</t>
        </is>
      </c>
      <c r="F185" s="118" t="n"/>
      <c r="G185" s="115" t="inlineStr">
        <is>
          <t>CA 125 II Calibrator Kit (Alinity i)</t>
        </is>
      </c>
      <c r="H185" s="115" t="inlineStr">
        <is>
          <t>6 liv x 3 mL</t>
        </is>
      </c>
      <c r="I185" s="115" t="n"/>
      <c r="J185" s="115" t="n"/>
      <c r="K185" s="115" t="n"/>
      <c r="L185" s="142" t="n"/>
      <c r="M185" s="165" t="n"/>
    </row>
    <row r="186" ht="14.25" customHeight="1" s="113">
      <c r="A186" s="115" t="inlineStr">
        <is>
          <t>IA</t>
        </is>
      </c>
      <c r="B186" s="115" t="inlineStr">
        <is>
          <t>Cal</t>
        </is>
      </c>
      <c r="C186" s="116" t="n"/>
      <c r="D186" s="142" t="n"/>
      <c r="E186" s="115" t="inlineStr">
        <is>
          <t>8P5101</t>
        </is>
      </c>
      <c r="F186" s="118" t="n"/>
      <c r="G186" s="115" t="inlineStr">
        <is>
          <t>CA 15-3 Calibrator Kit (Alinity i)</t>
        </is>
      </c>
      <c r="H186" s="115" t="inlineStr">
        <is>
          <t>6 liv x 3 mL</t>
        </is>
      </c>
      <c r="I186" s="115" t="n"/>
      <c r="J186" s="115" t="n"/>
      <c r="K186" s="115" t="n"/>
      <c r="L186" s="142" t="n"/>
      <c r="M186" s="165" t="n"/>
    </row>
    <row r="187" ht="14.25" customHeight="1" s="113">
      <c r="A187" s="115" t="inlineStr">
        <is>
          <t>IA</t>
        </is>
      </c>
      <c r="B187" s="115" t="inlineStr">
        <is>
          <t>Cal</t>
        </is>
      </c>
      <c r="C187" s="116" t="n"/>
      <c r="D187" s="142" t="n"/>
      <c r="E187" s="115" t="inlineStr">
        <is>
          <t>8P3201</t>
        </is>
      </c>
      <c r="F187" s="118" t="n"/>
      <c r="G187" s="115" t="inlineStr">
        <is>
          <t>CA 19-9XR Calibrator Kit (Alinity i)</t>
        </is>
      </c>
      <c r="H187" s="115" t="inlineStr">
        <is>
          <t>6 liv x 3 mL</t>
        </is>
      </c>
      <c r="I187" s="115" t="n"/>
      <c r="J187" s="115" t="n"/>
      <c r="K187" s="115" t="n"/>
      <c r="L187" s="142" t="n"/>
      <c r="M187" s="165" t="n"/>
    </row>
    <row r="188" ht="14.25" customHeight="1" s="113">
      <c r="A188" s="115" t="inlineStr">
        <is>
          <t>IA</t>
        </is>
      </c>
      <c r="B188" s="115" t="inlineStr">
        <is>
          <t>Cal</t>
        </is>
      </c>
      <c r="C188" s="116" t="n"/>
      <c r="D188" s="142" t="n"/>
      <c r="E188" s="115" t="inlineStr">
        <is>
          <t>7P6201</t>
        </is>
      </c>
      <c r="F188" s="118" t="n"/>
      <c r="G188" s="115" t="inlineStr">
        <is>
          <t>CEA Calibrator Kit (Alinity i)</t>
        </is>
      </c>
      <c r="H188" s="115" t="inlineStr">
        <is>
          <t>2 liv x 3 mL</t>
        </is>
      </c>
      <c r="I188" s="115" t="n"/>
      <c r="J188" s="115" t="n"/>
      <c r="K188" s="115" t="n"/>
      <c r="L188" s="142" t="n"/>
      <c r="M188" s="165" t="n"/>
    </row>
    <row r="189" ht="14.25" customHeight="1" s="113">
      <c r="A189" s="115" t="inlineStr">
        <is>
          <t>IA</t>
        </is>
      </c>
      <c r="B189" s="115" t="inlineStr">
        <is>
          <t>Cal</t>
        </is>
      </c>
      <c r="C189" s="116" t="n"/>
      <c r="D189" s="142" t="n"/>
      <c r="E189" s="115" t="inlineStr">
        <is>
          <t>4V3801</t>
        </is>
      </c>
      <c r="F189" s="118" t="n"/>
      <c r="G189" s="115" t="inlineStr">
        <is>
          <t>CK-MB Calibrator Kit (Alinity i)</t>
        </is>
      </c>
      <c r="H189" s="115" t="inlineStr">
        <is>
          <t>6x3 mL</t>
        </is>
      </c>
      <c r="I189" s="115" t="n"/>
      <c r="J189" s="115" t="n"/>
      <c r="K189" s="115" t="n"/>
      <c r="L189" s="142" t="n"/>
      <c r="M189" s="165" t="n"/>
    </row>
    <row r="190" ht="14.25" customHeight="1" s="113">
      <c r="A190" s="115" t="inlineStr">
        <is>
          <t>IA</t>
        </is>
      </c>
      <c r="B190" s="115" t="inlineStr">
        <is>
          <t>Cal</t>
        </is>
      </c>
      <c r="C190" s="116" t="n"/>
      <c r="D190" s="142" t="n"/>
      <c r="E190" s="115" t="inlineStr">
        <is>
          <t>8P3301</t>
        </is>
      </c>
      <c r="F190" s="118" t="n"/>
      <c r="G190" s="115" t="inlineStr">
        <is>
          <t>Cortisol Calibrator Kit (Alinity i)</t>
        </is>
      </c>
      <c r="H190" s="115" t="inlineStr">
        <is>
          <t>6 liv x 3 mL</t>
        </is>
      </c>
      <c r="I190" s="115" t="n"/>
      <c r="J190" s="115" t="n"/>
      <c r="K190" s="115" t="n"/>
      <c r="L190" s="142" t="n"/>
      <c r="M190" s="165" t="n"/>
    </row>
    <row r="191" ht="14.25" customHeight="1" s="113">
      <c r="A191" s="115" t="inlineStr">
        <is>
          <t>IA</t>
        </is>
      </c>
      <c r="B191" s="115" t="inlineStr">
        <is>
          <t>Cal</t>
        </is>
      </c>
      <c r="C191" s="116" t="n"/>
      <c r="D191" s="142" t="n"/>
      <c r="E191" s="115" t="inlineStr">
        <is>
          <t>9P3601</t>
        </is>
      </c>
      <c r="F191" s="118" t="n"/>
      <c r="G191" s="115" t="inlineStr">
        <is>
          <t>C-Peptide Calibrator Kit (Alinity i)</t>
        </is>
      </c>
      <c r="H191" s="115" t="inlineStr">
        <is>
          <t>6x3 mL</t>
        </is>
      </c>
      <c r="I191" s="115" t="n"/>
      <c r="J191" s="115" t="n"/>
      <c r="K191" s="115" t="n"/>
      <c r="L191" s="142" t="n"/>
      <c r="M191" s="165" t="n"/>
    </row>
    <row r="192" ht="14.25" customHeight="1" s="113">
      <c r="A192" s="115" t="inlineStr">
        <is>
          <t>IA</t>
        </is>
      </c>
      <c r="B192" s="115" t="inlineStr">
        <is>
          <t>Cal</t>
        </is>
      </c>
      <c r="C192" s="116" t="n"/>
      <c r="D192" s="142" t="n"/>
      <c r="E192" s="115" t="inlineStr">
        <is>
          <t>9P3901</t>
        </is>
      </c>
      <c r="F192" s="118" t="n"/>
      <c r="G192" s="115" t="inlineStr">
        <is>
          <t>Cyclosporine Calibrator Kit (Alinity i)</t>
        </is>
      </c>
      <c r="H192" s="115" t="inlineStr">
        <is>
          <t>1x1x 9mL 5x1x4,5mL</t>
        </is>
      </c>
      <c r="I192" s="115" t="n"/>
      <c r="J192" s="115" t="n"/>
      <c r="K192" s="115" t="n"/>
      <c r="L192" s="142" t="n"/>
      <c r="M192" s="165" t="n"/>
    </row>
    <row r="193" ht="14.25" customHeight="1" s="113">
      <c r="A193" s="115" t="inlineStr">
        <is>
          <t>IA</t>
        </is>
      </c>
      <c r="B193" s="115" t="inlineStr">
        <is>
          <t>Precip</t>
        </is>
      </c>
      <c r="C193" s="116" t="n"/>
      <c r="D193" s="142" t="n"/>
      <c r="E193" s="115" t="inlineStr">
        <is>
          <t>9P3940</t>
        </is>
      </c>
      <c r="F193" s="118" t="n"/>
      <c r="G193" s="115" t="inlineStr">
        <is>
          <t>Cyclosporine WB Precipitation (Alinity i)</t>
        </is>
      </c>
      <c r="H193" s="115" t="inlineStr">
        <is>
          <t>1x1x12,3mL 1x1x45mL</t>
        </is>
      </c>
      <c r="I193" s="115" t="n"/>
      <c r="J193" s="115" t="n"/>
      <c r="K193" s="115" t="n"/>
      <c r="L193" s="142" t="n"/>
      <c r="M193" s="164" t="inlineStr">
        <is>
          <t>?</t>
        </is>
      </c>
    </row>
    <row r="194" ht="14.25" customHeight="1" s="113">
      <c r="A194" s="115" t="inlineStr">
        <is>
          <t>IA</t>
        </is>
      </c>
      <c r="B194" s="115" t="inlineStr">
        <is>
          <t>Cal</t>
        </is>
      </c>
      <c r="C194" s="116" t="n"/>
      <c r="D194" s="142" t="n"/>
      <c r="E194" s="115" t="inlineStr">
        <is>
          <t>9P3701</t>
        </is>
      </c>
      <c r="F194" s="118" t="n"/>
      <c r="G194" s="115" t="inlineStr">
        <is>
          <t>DHEA-S Calibrator Kit (Alinity i)</t>
        </is>
      </c>
      <c r="H194" s="115" t="inlineStr">
        <is>
          <t>6 liv x 2 mL</t>
        </is>
      </c>
      <c r="I194" s="115" t="n"/>
      <c r="J194" s="115" t="n"/>
      <c r="K194" s="115" t="n"/>
      <c r="L194" s="142" t="n"/>
      <c r="M194" s="165" t="n"/>
    </row>
    <row r="195" ht="14.25" customHeight="1" s="113">
      <c r="A195" s="115" t="inlineStr">
        <is>
          <t>IA</t>
        </is>
      </c>
      <c r="B195" s="115" t="inlineStr">
        <is>
          <t>Cal</t>
        </is>
      </c>
      <c r="C195" s="116" t="n"/>
      <c r="D195" s="142" t="n"/>
      <c r="E195" s="115" t="inlineStr">
        <is>
          <t>7P5001</t>
        </is>
      </c>
      <c r="F195" s="118" t="n"/>
      <c r="G195" s="115" t="inlineStr">
        <is>
          <t>Estradiol Calibrator Kit (Alinity i)</t>
        </is>
      </c>
      <c r="H195" s="115" t="inlineStr">
        <is>
          <t>6 liv x 3 mL</t>
        </is>
      </c>
      <c r="I195" s="115" t="n"/>
      <c r="J195" s="115" t="n"/>
      <c r="K195" s="115" t="n"/>
      <c r="L195" s="142" t="n"/>
      <c r="M195" s="165" t="n"/>
    </row>
    <row r="196" ht="14.25" customHeight="1" s="113">
      <c r="A196" s="115" t="inlineStr">
        <is>
          <t>IA</t>
        </is>
      </c>
      <c r="B196" s="115" t="inlineStr">
        <is>
          <t>Dil</t>
        </is>
      </c>
      <c r="C196" s="116" t="n"/>
      <c r="D196" s="142" t="n"/>
      <c r="E196" s="115" t="inlineStr">
        <is>
          <t>7P5040</t>
        </is>
      </c>
      <c r="F196" s="118" t="n"/>
      <c r="G196" s="115" t="inlineStr">
        <is>
          <t>Estradiol Man Diluent (Alinity i)</t>
        </is>
      </c>
      <c r="H196" s="115" t="inlineStr">
        <is>
          <t>1x5 mL</t>
        </is>
      </c>
      <c r="I196" s="115" t="n"/>
      <c r="J196" s="115" t="n"/>
      <c r="K196" s="115" t="n"/>
      <c r="L196" s="142" t="n"/>
      <c r="M196" s="164" t="inlineStr">
        <is>
          <t>?</t>
        </is>
      </c>
    </row>
    <row r="197" ht="14.25" customHeight="1" s="113">
      <c r="A197" s="115" t="inlineStr">
        <is>
          <t>IA</t>
        </is>
      </c>
      <c r="B197" s="115" t="inlineStr">
        <is>
          <t>Cal</t>
        </is>
      </c>
      <c r="C197" s="116" t="n"/>
      <c r="D197" s="142" t="n"/>
      <c r="E197" s="115" t="inlineStr">
        <is>
          <t>7P6501</t>
        </is>
      </c>
      <c r="F197" s="118" t="n"/>
      <c r="G197" s="115" t="inlineStr">
        <is>
          <t>Ferritin Calibrator Kit (Alinity i)</t>
        </is>
      </c>
      <c r="H197" s="115" t="inlineStr">
        <is>
          <t>2 liv x 3 mL</t>
        </is>
      </c>
      <c r="I197" s="115" t="n"/>
      <c r="J197" s="115" t="n"/>
      <c r="K197" s="115" t="n"/>
      <c r="L197" s="142" t="n"/>
      <c r="M197" s="165" t="n"/>
    </row>
    <row r="198" ht="14.25" customHeight="1" s="113">
      <c r="A198" s="115" t="inlineStr">
        <is>
          <t>IA</t>
        </is>
      </c>
      <c r="B198" s="115" t="inlineStr">
        <is>
          <t>Cal</t>
        </is>
      </c>
      <c r="C198" s="116" t="n"/>
      <c r="D198" s="142" t="n"/>
      <c r="E198" s="115" t="inlineStr">
        <is>
          <t>8P1401</t>
        </is>
      </c>
      <c r="F198" s="118" t="n"/>
      <c r="G198" s="115" t="inlineStr">
        <is>
          <t>Folate Calibrator Kit (Alinity i)</t>
        </is>
      </c>
      <c r="H198" s="115" t="inlineStr">
        <is>
          <t>6x3 mL</t>
        </is>
      </c>
      <c r="I198" s="115" t="n"/>
      <c r="J198" s="115" t="n"/>
      <c r="K198" s="115" t="n"/>
      <c r="L198" s="142" t="n"/>
      <c r="M198" s="165" t="n"/>
    </row>
    <row r="199" ht="14.25" customHeight="1" s="113">
      <c r="A199" s="115" t="inlineStr">
        <is>
          <t>IA</t>
        </is>
      </c>
      <c r="B199" s="115" t="inlineStr">
        <is>
          <t>Dil</t>
        </is>
      </c>
      <c r="C199" s="116" t="n"/>
      <c r="D199" s="142" t="n"/>
      <c r="E199" s="115" t="inlineStr">
        <is>
          <t>8P1460</t>
        </is>
      </c>
      <c r="F199" s="118" t="n"/>
      <c r="G199" s="115" t="inlineStr">
        <is>
          <t>Folate Man Diluent (Alinity i)</t>
        </is>
      </c>
      <c r="H199" s="115" t="inlineStr">
        <is>
          <t>1 x 4 mL</t>
        </is>
      </c>
      <c r="I199" s="115" t="n"/>
      <c r="J199" s="115" t="n"/>
      <c r="K199" s="115" t="n"/>
      <c r="L199" s="142" t="n"/>
      <c r="M199" s="164" t="inlineStr">
        <is>
          <t>?</t>
        </is>
      </c>
    </row>
    <row r="200" ht="14.25" customHeight="1" s="113">
      <c r="A200" s="115" t="inlineStr">
        <is>
          <t>IA</t>
        </is>
      </c>
      <c r="B200" s="115" t="inlineStr">
        <is>
          <t>Cal</t>
        </is>
      </c>
      <c r="C200" s="116" t="n"/>
      <c r="D200" s="142" t="n"/>
      <c r="E200" s="115" t="inlineStr">
        <is>
          <t>7P9301</t>
        </is>
      </c>
      <c r="F200" s="118" t="n"/>
      <c r="G200" s="115" t="inlineStr">
        <is>
          <t>Free PSA Calibrator Kit (Alinity i)</t>
        </is>
      </c>
      <c r="H200" s="115" t="inlineStr">
        <is>
          <t>2 liv x 3 mL</t>
        </is>
      </c>
      <c r="I200" s="115" t="n"/>
      <c r="J200" s="115" t="n"/>
      <c r="K200" s="115" t="n"/>
      <c r="L200" s="142" t="n"/>
      <c r="M200" s="165" t="n"/>
    </row>
    <row r="201" ht="14.25" customHeight="1" s="113">
      <c r="A201" s="115" t="inlineStr">
        <is>
          <t>IA</t>
        </is>
      </c>
      <c r="B201" s="115" t="inlineStr">
        <is>
          <t>Cal</t>
        </is>
      </c>
      <c r="C201" s="116" t="n"/>
      <c r="D201" s="142" t="n"/>
      <c r="E201" s="115" t="inlineStr">
        <is>
          <t>7P6901</t>
        </is>
      </c>
      <c r="F201" s="118" t="n"/>
      <c r="G201" s="115" t="inlineStr">
        <is>
          <t>Free T3 Calibrator Kit (Alinity i)</t>
        </is>
      </c>
      <c r="H201" s="115" t="inlineStr">
        <is>
          <t>6 liv x 3 mL</t>
        </is>
      </c>
      <c r="I201" s="115" t="n"/>
      <c r="J201" s="115" t="n"/>
      <c r="K201" s="115" t="n"/>
      <c r="L201" s="142" t="n"/>
      <c r="M201" s="165" t="n"/>
    </row>
    <row r="202" ht="14.25" customHeight="1" s="113">
      <c r="A202" s="115" t="inlineStr">
        <is>
          <t>IA</t>
        </is>
      </c>
      <c r="B202" s="115" t="inlineStr">
        <is>
          <t>Cal</t>
        </is>
      </c>
      <c r="C202" s="116" t="n"/>
      <c r="D202" s="142" t="n"/>
      <c r="E202" s="115" t="inlineStr">
        <is>
          <t>7P7001</t>
        </is>
      </c>
      <c r="F202" s="118" t="n"/>
      <c r="G202" s="115" t="inlineStr">
        <is>
          <t>Free T4 Calibrator Kit (Alinity i)</t>
        </is>
      </c>
      <c r="H202" s="115" t="inlineStr">
        <is>
          <t>6 liv x 3 mL</t>
        </is>
      </c>
      <c r="I202" s="115" t="n"/>
      <c r="J202" s="115" t="n"/>
      <c r="K202" s="115" t="n"/>
      <c r="L202" s="142" t="n"/>
      <c r="M202" s="165" t="n"/>
    </row>
    <row r="203" ht="14.25" customHeight="1" s="113">
      <c r="A203" s="115" t="inlineStr">
        <is>
          <t>IA</t>
        </is>
      </c>
      <c r="B203" s="115" t="inlineStr">
        <is>
          <t>Cal</t>
        </is>
      </c>
      <c r="C203" s="116" t="n"/>
      <c r="D203" s="142" t="n"/>
      <c r="E203" s="115" t="inlineStr">
        <is>
          <t>7P4901</t>
        </is>
      </c>
      <c r="F203" s="118" t="n"/>
      <c r="G203" s="115" t="inlineStr">
        <is>
          <t>FSH Calibrator Kit (Alinity i)</t>
        </is>
      </c>
      <c r="H203" s="115" t="inlineStr">
        <is>
          <t>2x3 mL</t>
        </is>
      </c>
      <c r="I203" s="115" t="n"/>
      <c r="J203" s="115" t="n"/>
      <c r="K203" s="115" t="n"/>
      <c r="L203" s="142" t="n"/>
      <c r="M203" s="165" t="n"/>
    </row>
    <row r="204" ht="14.25" customHeight="1" s="113">
      <c r="A204" s="115" t="inlineStr">
        <is>
          <t>IA</t>
        </is>
      </c>
      <c r="B204" s="115" t="inlineStr">
        <is>
          <t>Cal</t>
        </is>
      </c>
      <c r="C204" s="116" t="n"/>
      <c r="D204" s="142" t="n"/>
      <c r="E204" s="115" t="inlineStr">
        <is>
          <t>8P2601</t>
        </is>
      </c>
      <c r="F204" s="118" t="n"/>
      <c r="G204" s="115" t="inlineStr">
        <is>
          <t>HAVAb IgG Calibrator Kit (Alinity i)</t>
        </is>
      </c>
      <c r="H204" s="115" t="inlineStr">
        <is>
          <t>1 liv x 3 mL</t>
        </is>
      </c>
      <c r="I204" s="115" t="n"/>
      <c r="J204" s="115" t="n"/>
      <c r="K204" s="115" t="n"/>
      <c r="L204" s="142" t="n"/>
      <c r="M204" s="165" t="n"/>
    </row>
    <row r="205" ht="14.25" customHeight="1" s="113">
      <c r="A205" s="115" t="inlineStr">
        <is>
          <t>IA</t>
        </is>
      </c>
      <c r="B205" s="115" t="inlineStr">
        <is>
          <t>Cal</t>
        </is>
      </c>
      <c r="C205" s="116" t="n"/>
      <c r="D205" s="142" t="n"/>
      <c r="E205" s="115" t="inlineStr">
        <is>
          <t>2R2801</t>
        </is>
      </c>
      <c r="F205" s="118" t="n"/>
      <c r="G205" s="115" t="inlineStr">
        <is>
          <t>HAVAb IgM Calibrator Kit (Alinity i)</t>
        </is>
      </c>
      <c r="H205" s="115" t="inlineStr">
        <is>
          <t>1 liv x 3 mL</t>
        </is>
      </c>
      <c r="I205" s="115" t="n"/>
      <c r="J205" s="115" t="n"/>
      <c r="K205" s="115" t="n"/>
      <c r="L205" s="142" t="n"/>
      <c r="M205" s="165" t="n"/>
    </row>
    <row r="206" ht="14.25" customHeight="1" s="113">
      <c r="A206" s="115" t="inlineStr">
        <is>
          <t>IA</t>
        </is>
      </c>
      <c r="B206" s="115" t="inlineStr">
        <is>
          <t>Cal</t>
        </is>
      </c>
      <c r="C206" s="116" t="n"/>
      <c r="D206" s="142" t="n"/>
      <c r="E206" s="115" t="inlineStr">
        <is>
          <t>7P6401</t>
        </is>
      </c>
      <c r="F206" s="118" t="n"/>
      <c r="G206" s="115" t="inlineStr">
        <is>
          <t>HBeAg Calibrator Kit (Alinity i)</t>
        </is>
      </c>
      <c r="H206" s="115" t="inlineStr">
        <is>
          <t>2 liv x 3 mL</t>
        </is>
      </c>
      <c r="I206" s="115" t="n"/>
      <c r="J206" s="115" t="n"/>
      <c r="K206" s="115" t="n"/>
      <c r="L206" s="142" t="n"/>
      <c r="M206" s="165" t="n"/>
    </row>
    <row r="207" ht="14.25" customHeight="1" s="113">
      <c r="A207" s="115" t="inlineStr">
        <is>
          <t>IA</t>
        </is>
      </c>
      <c r="B207" s="115" t="inlineStr">
        <is>
          <t>Cal</t>
        </is>
      </c>
      <c r="C207" s="116" t="n"/>
      <c r="D207" s="142" t="n"/>
      <c r="E207" s="115" t="inlineStr">
        <is>
          <t>1R6401</t>
        </is>
      </c>
      <c r="F207" s="118" t="n"/>
      <c r="G207" s="115" t="inlineStr">
        <is>
          <t>HBsAg Next Qualitative Calibrator Kit (Alinity i)</t>
        </is>
      </c>
      <c r="H207" s="115" t="inlineStr">
        <is>
          <t>2 liv x 3 mL</t>
        </is>
      </c>
      <c r="I207" s="115" t="n"/>
      <c r="J207" s="115" t="n"/>
      <c r="K207" s="115" t="n"/>
      <c r="L207" s="142" t="n"/>
      <c r="M207" s="165" t="n"/>
    </row>
    <row r="208" ht="14.25" customHeight="1" s="113">
      <c r="A208" s="115" t="inlineStr">
        <is>
          <t>IA</t>
        </is>
      </c>
      <c r="B208" s="115" t="inlineStr">
        <is>
          <t>Cal</t>
        </is>
      </c>
      <c r="C208" s="116" t="n"/>
      <c r="D208" s="142" t="n"/>
      <c r="E208" s="115" t="inlineStr">
        <is>
          <t>8P0801</t>
        </is>
      </c>
      <c r="F208" s="118" t="n"/>
      <c r="G208" s="115" t="inlineStr">
        <is>
          <t>HBsAg Quantitative Calibrator Kit (Alinity i)</t>
        </is>
      </c>
      <c r="H208" s="115" t="inlineStr">
        <is>
          <t>6 liv x 3 mL</t>
        </is>
      </c>
      <c r="I208" s="115" t="n"/>
      <c r="J208" s="115" t="n"/>
      <c r="K208" s="115" t="n"/>
      <c r="L208" s="142" t="n"/>
      <c r="M208" s="165" t="n"/>
    </row>
    <row r="209" ht="14.25" customHeight="1" s="113">
      <c r="A209" s="115" t="inlineStr">
        <is>
          <t>IA</t>
        </is>
      </c>
      <c r="B209" s="115" t="inlineStr">
        <is>
          <t>Dil</t>
        </is>
      </c>
      <c r="C209" s="116" t="n"/>
      <c r="D209" s="142" t="n"/>
      <c r="E209" s="115" t="inlineStr">
        <is>
          <t>8P0843</t>
        </is>
      </c>
      <c r="F209" s="118" t="n"/>
      <c r="G209" s="115" t="inlineStr">
        <is>
          <t>HBsAg Man Diluent (Alinity i)</t>
        </is>
      </c>
      <c r="H209" s="115" t="inlineStr">
        <is>
          <t>1 x 100 mL</t>
        </is>
      </c>
      <c r="I209" s="115" t="n"/>
      <c r="J209" s="115" t="n"/>
      <c r="K209" s="115" t="n"/>
      <c r="L209" s="142" t="n"/>
      <c r="M209" s="164" t="inlineStr">
        <is>
          <t>?</t>
        </is>
      </c>
    </row>
    <row r="210" ht="14.25" customHeight="1" s="113">
      <c r="A210" s="115" t="inlineStr">
        <is>
          <t>IA</t>
        </is>
      </c>
      <c r="B210" s="115" t="inlineStr">
        <is>
          <t>Cal</t>
        </is>
      </c>
      <c r="C210" s="116" t="n"/>
      <c r="D210" s="142" t="n"/>
      <c r="E210" s="115" t="inlineStr">
        <is>
          <t>8P5001</t>
        </is>
      </c>
      <c r="F210" s="118" t="n"/>
      <c r="G210" s="115" t="inlineStr">
        <is>
          <t>HE4 Calibrator Kit (Alinity i)</t>
        </is>
      </c>
      <c r="H210" s="115" t="inlineStr">
        <is>
          <t>6 liv x 3 mL</t>
        </is>
      </c>
      <c r="I210" s="115" t="n"/>
      <c r="J210" s="115" t="n"/>
      <c r="K210" s="115" t="n"/>
      <c r="L210" s="142" t="n"/>
      <c r="M210" s="165" t="n"/>
    </row>
    <row r="211" ht="14.25" customHeight="1" s="113">
      <c r="A211" s="115" t="inlineStr">
        <is>
          <t>IA</t>
        </is>
      </c>
      <c r="B211" s="115" t="inlineStr">
        <is>
          <t>Cal</t>
        </is>
      </c>
      <c r="C211" s="116" t="n"/>
      <c r="D211" s="142" t="n"/>
      <c r="E211" s="115" t="inlineStr">
        <is>
          <t>8P0701</t>
        </is>
      </c>
      <c r="F211" s="118" t="n"/>
      <c r="G211" s="115" t="inlineStr">
        <is>
          <t>HIV Ag/Ab Combo Calibrator Kit (Alinity i)</t>
        </is>
      </c>
      <c r="H211" s="115" t="inlineStr">
        <is>
          <t>1 liv x 3 mL</t>
        </is>
      </c>
      <c r="I211" s="115" t="n"/>
      <c r="J211" s="115" t="n"/>
      <c r="K211" s="115" t="n"/>
      <c r="L211" s="142" t="n"/>
      <c r="M211" s="165" t="n"/>
    </row>
    <row r="212" ht="14.25" customHeight="1" s="113">
      <c r="A212" s="115" t="inlineStr">
        <is>
          <t>IA</t>
        </is>
      </c>
      <c r="B212" s="115" t="inlineStr">
        <is>
          <t>Cal</t>
        </is>
      </c>
      <c r="C212" s="116" t="n"/>
      <c r="D212" s="142" t="n"/>
      <c r="E212" s="115" t="inlineStr">
        <is>
          <t>4T7501</t>
        </is>
      </c>
      <c r="F212" s="118" t="n"/>
      <c r="G212" s="115" t="inlineStr">
        <is>
          <t>Insulin Calibrator Kit (Alinity i)</t>
        </is>
      </c>
      <c r="H212" s="115" t="inlineStr">
        <is>
          <t>6x3 mL</t>
        </is>
      </c>
      <c r="I212" s="115" t="n"/>
      <c r="J212" s="115" t="n"/>
      <c r="K212" s="115" t="n"/>
      <c r="L212" s="142" t="n"/>
      <c r="M212" s="165" t="n"/>
    </row>
    <row r="213" ht="14.25" customHeight="1" s="113">
      <c r="A213" s="115" t="inlineStr">
        <is>
          <t>IA</t>
        </is>
      </c>
      <c r="B213" s="115" t="inlineStr">
        <is>
          <t>Cal</t>
        </is>
      </c>
      <c r="C213" s="116" t="n"/>
      <c r="D213" s="142" t="n"/>
      <c r="E213" s="115" t="inlineStr">
        <is>
          <t>7P9101</t>
        </is>
      </c>
      <c r="F213" s="118" t="n"/>
      <c r="G213" s="115" t="inlineStr">
        <is>
          <t>LH Calibrator Kit (Alinity i)</t>
        </is>
      </c>
      <c r="H213" s="115" t="inlineStr">
        <is>
          <t>6x3 mL</t>
        </is>
      </c>
      <c r="I213" s="115" t="n"/>
      <c r="J213" s="115" t="n"/>
      <c r="K213" s="115" t="n"/>
      <c r="L213" s="142" t="n"/>
      <c r="M213" s="165" t="n"/>
    </row>
    <row r="214" ht="14.25" customHeight="1" s="113">
      <c r="A214" s="115" t="inlineStr">
        <is>
          <t>IA</t>
        </is>
      </c>
      <c r="B214" s="115" t="inlineStr">
        <is>
          <t>Cal</t>
        </is>
      </c>
      <c r="C214" s="116" t="n"/>
      <c r="D214" s="142" t="n"/>
      <c r="E214" s="115" t="inlineStr">
        <is>
          <t>9P4801</t>
        </is>
      </c>
      <c r="F214" s="118" t="n"/>
      <c r="G214" s="115" t="inlineStr">
        <is>
          <t>Methotrexate Calibrator Kit (Alinity i)</t>
        </is>
      </c>
      <c r="H214" s="115" t="inlineStr">
        <is>
          <t>6 x 3 mL</t>
        </is>
      </c>
      <c r="I214" s="115" t="n"/>
      <c r="J214" s="115" t="n"/>
      <c r="K214" s="115" t="n"/>
      <c r="L214" s="142" t="n"/>
      <c r="M214" s="165" t="n"/>
    </row>
    <row r="215" ht="14.25" customHeight="1" s="113">
      <c r="A215" s="115" t="inlineStr">
        <is>
          <t>IA</t>
        </is>
      </c>
      <c r="B215" s="115" t="inlineStr">
        <is>
          <t>Cal</t>
        </is>
      </c>
      <c r="C215" s="116" t="n"/>
      <c r="D215" s="142" t="n"/>
      <c r="E215" s="115" t="inlineStr">
        <is>
          <t>4V3701</t>
        </is>
      </c>
      <c r="F215" s="118" t="n"/>
      <c r="G215" s="115" t="inlineStr">
        <is>
          <t>Myoglobin Calibrator Kit (Alinity i)</t>
        </is>
      </c>
      <c r="H215" s="115" t="inlineStr">
        <is>
          <t>6x3 mL</t>
        </is>
      </c>
      <c r="I215" s="115" t="n"/>
      <c r="J215" s="115" t="n"/>
      <c r="K215" s="115" t="n"/>
      <c r="L215" s="142" t="n"/>
      <c r="M215" s="165" t="n"/>
    </row>
    <row r="216" ht="14.25" customHeight="1" s="113">
      <c r="A216" s="115" t="inlineStr">
        <is>
          <t>IA</t>
        </is>
      </c>
      <c r="B216" s="115" t="inlineStr">
        <is>
          <t>Cal</t>
        </is>
      </c>
      <c r="C216" s="116" t="n"/>
      <c r="D216" s="142" t="n"/>
      <c r="E216" s="115" t="inlineStr">
        <is>
          <t>8P3601</t>
        </is>
      </c>
      <c r="F216" s="118" t="n"/>
      <c r="G216" s="115" t="inlineStr">
        <is>
          <t>Progesterone Calibrator Kit (Alinity i)</t>
        </is>
      </c>
      <c r="H216" s="115" t="inlineStr">
        <is>
          <t>2x3 mL</t>
        </is>
      </c>
      <c r="I216" s="115" t="n"/>
      <c r="J216" s="115" t="n"/>
      <c r="K216" s="115" t="n"/>
      <c r="L216" s="142" t="n"/>
      <c r="M216" s="165" t="n"/>
    </row>
    <row r="217" ht="14.25" customHeight="1" s="113">
      <c r="A217" s="115" t="inlineStr">
        <is>
          <t>IA</t>
        </is>
      </c>
      <c r="B217" s="115" t="inlineStr">
        <is>
          <t>Dil</t>
        </is>
      </c>
      <c r="C217" s="116" t="n"/>
      <c r="D217" s="142" t="n"/>
      <c r="E217" s="115" t="inlineStr">
        <is>
          <t>8P3640</t>
        </is>
      </c>
      <c r="F217" s="118" t="n"/>
      <c r="G217" s="115" t="inlineStr">
        <is>
          <t>Progesterone Man Diluent (Alinity i)</t>
        </is>
      </c>
      <c r="H217" s="115" t="inlineStr">
        <is>
          <t>1 x 5 mL</t>
        </is>
      </c>
      <c r="I217" s="115" t="n"/>
      <c r="J217" s="115" t="n"/>
      <c r="K217" s="115" t="n"/>
      <c r="L217" s="142" t="n"/>
      <c r="M217" s="164" t="inlineStr">
        <is>
          <t>?</t>
        </is>
      </c>
    </row>
    <row r="218" ht="14.25" customHeight="1" s="113">
      <c r="A218" s="115" t="inlineStr">
        <is>
          <t>IA</t>
        </is>
      </c>
      <c r="B218" s="115" t="inlineStr">
        <is>
          <t>Cal</t>
        </is>
      </c>
      <c r="C218" s="116" t="n"/>
      <c r="D218" s="142" t="n"/>
      <c r="E218" s="115" t="inlineStr">
        <is>
          <t>7P6601</t>
        </is>
      </c>
      <c r="F218" s="118" t="n"/>
      <c r="G218" s="115" t="inlineStr">
        <is>
          <t>Prolactin Calibrator Kit (Alinity i)</t>
        </is>
      </c>
      <c r="H218" s="115" t="inlineStr">
        <is>
          <t>2 liv x 3 mL</t>
        </is>
      </c>
      <c r="I218" s="115" t="n"/>
      <c r="J218" s="115" t="n"/>
      <c r="K218" s="115" t="n"/>
      <c r="L218" s="142" t="n"/>
      <c r="M218" s="165" t="n"/>
    </row>
    <row r="219" ht="14.25" customHeight="1" s="113">
      <c r="A219" s="115" t="inlineStr">
        <is>
          <t>IA</t>
        </is>
      </c>
      <c r="B219" s="115" t="inlineStr">
        <is>
          <t>Cal</t>
        </is>
      </c>
      <c r="C219" s="116" t="n"/>
      <c r="D219" s="142" t="n"/>
      <c r="E219" s="115" t="inlineStr">
        <is>
          <t>8P1301</t>
        </is>
      </c>
      <c r="F219" s="118" t="n"/>
      <c r="G219" s="115" t="inlineStr">
        <is>
          <t>hsTroponin-I Calibrator (Alinity i)</t>
        </is>
      </c>
      <c r="H219" s="115" t="inlineStr">
        <is>
          <t>6 liv x 3 mL</t>
        </is>
      </c>
      <c r="I219" s="115" t="n"/>
      <c r="J219" s="115" t="n"/>
      <c r="K219" s="115" t="n"/>
      <c r="L219" s="142" t="n"/>
      <c r="M219" s="165" t="n"/>
    </row>
    <row r="220" ht="14.25" customHeight="1" s="113">
      <c r="A220" s="115" t="inlineStr">
        <is>
          <t>IA</t>
        </is>
      </c>
      <c r="B220" s="115" t="inlineStr">
        <is>
          <t>Cal</t>
        </is>
      </c>
      <c r="C220" s="116" t="n"/>
      <c r="D220" s="142" t="n"/>
      <c r="E220" s="115" t="inlineStr">
        <is>
          <t>8P3102</t>
        </is>
      </c>
      <c r="F220" s="118" t="n"/>
      <c r="G220" s="115" t="inlineStr">
        <is>
          <t>Intact PTH Calibrator Kit (Alinity i)</t>
        </is>
      </c>
      <c r="H220" s="115" t="inlineStr">
        <is>
          <t>6 liv x 3 mL</t>
        </is>
      </c>
      <c r="I220" s="115" t="n"/>
      <c r="J220" s="115" t="n"/>
      <c r="K220" s="115" t="n"/>
      <c r="L220" s="142" t="n"/>
      <c r="M220" s="165" t="n"/>
    </row>
    <row r="221" ht="14.25" customHeight="1" s="113">
      <c r="A221" s="115" t="inlineStr">
        <is>
          <t>IA</t>
        </is>
      </c>
      <c r="B221" s="115" t="inlineStr">
        <is>
          <t>Cal</t>
        </is>
      </c>
      <c r="C221" s="116" t="n"/>
      <c r="D221" s="142" t="n"/>
      <c r="E221" s="115" t="inlineStr">
        <is>
          <t>7P5101</t>
        </is>
      </c>
      <c r="F221" s="118" t="n"/>
      <c r="G221" s="115" t="inlineStr">
        <is>
          <t>Total β-hCG Calibrator Kit (Alinity i)</t>
        </is>
      </c>
      <c r="H221" s="115" t="inlineStr">
        <is>
          <t>6 liv x 3 mL</t>
        </is>
      </c>
      <c r="I221" s="115" t="n"/>
      <c r="J221" s="115" t="n"/>
      <c r="K221" s="115" t="n"/>
      <c r="L221" s="142" t="n"/>
      <c r="M221" s="165" t="n"/>
    </row>
    <row r="222" ht="14.25" customHeight="1" s="113">
      <c r="A222" s="115" t="inlineStr">
        <is>
          <t>IA</t>
        </is>
      </c>
      <c r="B222" s="115" t="inlineStr">
        <is>
          <t>Cal</t>
        </is>
      </c>
      <c r="C222" s="116" t="n"/>
      <c r="D222" s="142" t="n"/>
      <c r="E222" s="115" t="inlineStr">
        <is>
          <t>9P3801</t>
        </is>
      </c>
      <c r="F222" s="118" t="n"/>
      <c r="G222" s="115" t="inlineStr">
        <is>
          <t>SHBG Calibrator Kit (Alinity i)</t>
        </is>
      </c>
      <c r="H222" s="115" t="inlineStr">
        <is>
          <t>6 x 2 mL</t>
        </is>
      </c>
      <c r="I222" s="115" t="n"/>
      <c r="J222" s="115" t="n"/>
      <c r="K222" s="115" t="n"/>
      <c r="L222" s="142" t="n"/>
      <c r="M222" s="165" t="n"/>
    </row>
    <row r="223" ht="14.25" customHeight="1" s="113">
      <c r="A223" s="115" t="inlineStr">
        <is>
          <t>IA</t>
        </is>
      </c>
      <c r="B223" s="115" t="inlineStr">
        <is>
          <t>Cal</t>
        </is>
      </c>
      <c r="C223" s="116" t="n"/>
      <c r="D223" s="142" t="n"/>
      <c r="E223" s="115" t="inlineStr">
        <is>
          <t>9P4101</t>
        </is>
      </c>
      <c r="F223" s="118" t="n"/>
      <c r="G223" s="115" t="inlineStr">
        <is>
          <t>Sirolimus Calibrator Kit (Alinity i)</t>
        </is>
      </c>
      <c r="H223" s="115" t="inlineStr">
        <is>
          <t>1x1x9mL 5  1x1x4,5mL</t>
        </is>
      </c>
      <c r="I223" s="115" t="n"/>
      <c r="J223" s="115" t="n"/>
      <c r="K223" s="115" t="n"/>
      <c r="L223" s="142" t="n"/>
      <c r="M223" s="165" t="n"/>
    </row>
    <row r="224" ht="14.25" customHeight="1" s="113">
      <c r="A224" s="115" t="inlineStr">
        <is>
          <t>IA</t>
        </is>
      </c>
      <c r="B224" s="115" t="inlineStr">
        <is>
          <t>Precip</t>
        </is>
      </c>
      <c r="C224" s="116" t="n"/>
      <c r="D224" s="142" t="n"/>
      <c r="E224" s="115" t="inlineStr">
        <is>
          <t>9P4140</t>
        </is>
      </c>
      <c r="F224" s="118" t="n"/>
      <c r="G224" s="115" t="inlineStr">
        <is>
          <t>Sirolimus WB Precipitation (Alinity i)</t>
        </is>
      </c>
      <c r="H224" s="115" t="inlineStr">
        <is>
          <t>1 x 30 mL</t>
        </is>
      </c>
      <c r="I224" s="115" t="n"/>
      <c r="J224" s="115" t="n"/>
      <c r="K224" s="115" t="n"/>
      <c r="L224" s="142" t="n"/>
      <c r="M224" s="164" t="inlineStr">
        <is>
          <t>?</t>
        </is>
      </c>
    </row>
    <row r="225" ht="14.25" customHeight="1" s="113">
      <c r="A225" s="115" t="inlineStr">
        <is>
          <t>IA</t>
        </is>
      </c>
      <c r="B225" s="115" t="inlineStr">
        <is>
          <t>Cal</t>
        </is>
      </c>
      <c r="C225" s="116" t="n"/>
      <c r="D225" s="142" t="n"/>
      <c r="E225" s="115" t="inlineStr">
        <is>
          <t>7P6001</t>
        </is>
      </c>
      <c r="F225" s="118" t="n"/>
      <c r="G225" s="115" t="inlineStr">
        <is>
          <t>Syphilis Calibrator Kit (Alinity i)</t>
        </is>
      </c>
      <c r="H225" s="115" t="inlineStr">
        <is>
          <t>1 liv x 3 mL</t>
        </is>
      </c>
      <c r="I225" s="115" t="n"/>
      <c r="J225" s="115" t="n"/>
      <c r="K225" s="115" t="n"/>
      <c r="L225" s="142" t="n"/>
      <c r="M225" s="165" t="n"/>
    </row>
    <row r="226" ht="14.25" customHeight="1" s="113">
      <c r="A226" s="115" t="inlineStr">
        <is>
          <t>IA</t>
        </is>
      </c>
      <c r="B226" s="115" t="inlineStr">
        <is>
          <t>Cal</t>
        </is>
      </c>
      <c r="C226" s="116" t="n"/>
      <c r="D226" s="142" t="n"/>
      <c r="E226" s="115" t="inlineStr">
        <is>
          <t>9P4201</t>
        </is>
      </c>
      <c r="F226" s="118" t="n"/>
      <c r="G226" s="115" t="inlineStr">
        <is>
          <t>Tacrolimus Calibrator Kit (Alinity i)</t>
        </is>
      </c>
      <c r="H226" s="115" t="inlineStr">
        <is>
          <t>1x1x9mL 5x1x4,5mL</t>
        </is>
      </c>
      <c r="I226" s="115" t="n"/>
      <c r="J226" s="115" t="n"/>
      <c r="K226" s="115" t="n"/>
      <c r="L226" s="142" t="n"/>
      <c r="M226" s="165" t="n"/>
    </row>
    <row r="227" ht="14.25" customHeight="1" s="113">
      <c r="A227" s="115" t="inlineStr">
        <is>
          <t>IA</t>
        </is>
      </c>
      <c r="B227" s="115" t="inlineStr">
        <is>
          <t>Precip</t>
        </is>
      </c>
      <c r="C227" s="116" t="n"/>
      <c r="D227" s="142" t="n"/>
      <c r="E227" s="115" t="inlineStr">
        <is>
          <t>9P4240</t>
        </is>
      </c>
      <c r="F227" s="118" t="n"/>
      <c r="G227" s="115" t="inlineStr">
        <is>
          <t>Tacrolimus WB Pecipit (Alinity i)</t>
        </is>
      </c>
      <c r="H227" s="115" t="inlineStr">
        <is>
          <t>1 x 20,4 mL</t>
        </is>
      </c>
      <c r="I227" s="115" t="n"/>
      <c r="J227" s="115" t="n"/>
      <c r="K227" s="115" t="n"/>
      <c r="L227" s="142" t="n"/>
      <c r="M227" s="164" t="inlineStr">
        <is>
          <t>?</t>
        </is>
      </c>
    </row>
    <row r="228" ht="14.25" customHeight="1" s="113">
      <c r="A228" s="115" t="inlineStr">
        <is>
          <t>IA</t>
        </is>
      </c>
      <c r="B228" s="115" t="inlineStr">
        <is>
          <t>Cal</t>
        </is>
      </c>
      <c r="C228" s="116" t="n"/>
      <c r="D228" s="142" t="n"/>
      <c r="E228" s="115" t="inlineStr">
        <is>
          <t>4W1701</t>
        </is>
      </c>
      <c r="F228" s="118" t="n"/>
      <c r="G228" s="115" t="inlineStr">
        <is>
          <t>GFAP Calibrator kit (Alinity i)</t>
        </is>
      </c>
      <c r="H228" s="115" t="inlineStr">
        <is>
          <t>6x1x3 mL</t>
        </is>
      </c>
      <c r="I228" s="115" t="n"/>
      <c r="J228" s="115" t="n"/>
      <c r="K228" s="115" t="n"/>
      <c r="L228" s="142" t="n"/>
      <c r="M228" s="165" t="n"/>
    </row>
    <row r="229" ht="14.25" customHeight="1" s="113">
      <c r="A229" s="115" t="inlineStr">
        <is>
          <t>IA</t>
        </is>
      </c>
      <c r="B229" s="115" t="inlineStr">
        <is>
          <t>Cal</t>
        </is>
      </c>
      <c r="C229" s="116" t="n"/>
      <c r="D229" s="142" t="n"/>
      <c r="E229" s="115" t="inlineStr">
        <is>
          <t>4W1901</t>
        </is>
      </c>
      <c r="F229" s="118" t="n"/>
      <c r="G229" s="115" t="inlineStr">
        <is>
          <t>ICH-L1 Calibrator Kit (Alinity i)</t>
        </is>
      </c>
      <c r="H229" s="115" t="inlineStr">
        <is>
          <t>6x1x3 mL</t>
        </is>
      </c>
      <c r="I229" s="115" t="n"/>
      <c r="J229" s="115" t="n"/>
      <c r="K229" s="115" t="n"/>
      <c r="L229" s="142" t="n"/>
      <c r="M229" s="165" t="n"/>
    </row>
    <row r="230" ht="14.25" customHeight="1" s="113">
      <c r="A230" s="115" t="inlineStr">
        <is>
          <t>IA</t>
        </is>
      </c>
      <c r="B230" s="115" t="inlineStr">
        <is>
          <t>Cal</t>
        </is>
      </c>
      <c r="C230" s="116" t="n"/>
      <c r="D230" s="142" t="n"/>
      <c r="E230" s="115" t="inlineStr">
        <is>
          <t>7P6801</t>
        </is>
      </c>
      <c r="F230" s="118" t="n"/>
      <c r="G230" s="115" t="inlineStr">
        <is>
          <t>Testosterone Calibrator Kit (Alinity i)</t>
        </is>
      </c>
      <c r="H230" s="115" t="inlineStr">
        <is>
          <t>6 liv x 3 mL</t>
        </is>
      </c>
      <c r="I230" s="115" t="n"/>
      <c r="J230" s="115" t="n"/>
      <c r="K230" s="115" t="n"/>
      <c r="L230" s="142" t="n"/>
      <c r="M230" s="165" t="n"/>
    </row>
    <row r="231" ht="14.25" customHeight="1" s="113">
      <c r="A231" s="115" t="inlineStr">
        <is>
          <t>IA</t>
        </is>
      </c>
      <c r="B231" s="115" t="inlineStr">
        <is>
          <t>Cal</t>
        </is>
      </c>
      <c r="C231" s="116" t="n"/>
      <c r="D231" s="142" t="n"/>
      <c r="E231" s="115" t="inlineStr">
        <is>
          <t>9P4901</t>
        </is>
      </c>
      <c r="F231" s="118" t="n"/>
      <c r="G231" s="115" t="inlineStr">
        <is>
          <t>TG Calibrator Kit (Alinity i)</t>
        </is>
      </c>
      <c r="H231" s="115" t="inlineStr">
        <is>
          <t>6x1x3,0 mL</t>
        </is>
      </c>
      <c r="I231" s="115" t="n"/>
      <c r="J231" s="115" t="n"/>
      <c r="K231" s="115" t="n"/>
      <c r="L231" s="142" t="n"/>
      <c r="M231" s="165" t="n"/>
    </row>
    <row r="232" ht="14.25" customHeight="1" s="113">
      <c r="A232" s="115" t="inlineStr">
        <is>
          <t>IA</t>
        </is>
      </c>
      <c r="B232" s="115" t="inlineStr">
        <is>
          <t>Cal</t>
        </is>
      </c>
      <c r="C232" s="116" t="n"/>
      <c r="D232" s="142" t="n"/>
      <c r="E232" s="115" t="inlineStr">
        <is>
          <t>7P9201</t>
        </is>
      </c>
      <c r="F232" s="118" t="n"/>
      <c r="G232" s="115" t="inlineStr">
        <is>
          <t>Total PSA Calibrator Kit (Alinity i)</t>
        </is>
      </c>
      <c r="H232" s="115" t="inlineStr">
        <is>
          <t>2 liv x 3 mL</t>
        </is>
      </c>
      <c r="I232" s="115" t="n"/>
      <c r="J232" s="115" t="n"/>
      <c r="K232" s="115" t="n"/>
      <c r="L232" s="142" t="n"/>
      <c r="M232" s="165" t="n"/>
    </row>
    <row r="233" ht="14.25" customHeight="1" s="113">
      <c r="A233" s="115" t="inlineStr">
        <is>
          <t>IA</t>
        </is>
      </c>
      <c r="B233" s="115" t="inlineStr">
        <is>
          <t>Cal</t>
        </is>
      </c>
      <c r="C233" s="116" t="n"/>
      <c r="D233" s="142" t="n"/>
      <c r="E233" s="115" t="inlineStr">
        <is>
          <t>7P4801</t>
        </is>
      </c>
      <c r="F233" s="118" t="n"/>
      <c r="G233" s="115" t="inlineStr">
        <is>
          <t>TSH Calibrator Kit (Alinity i)</t>
        </is>
      </c>
      <c r="H233" s="115" t="inlineStr">
        <is>
          <t>2 liv x 3 mL</t>
        </is>
      </c>
      <c r="I233" s="115" t="n"/>
      <c r="J233" s="115" t="n"/>
      <c r="K233" s="115" t="n"/>
      <c r="L233" s="142" t="n"/>
      <c r="M233" s="165" t="n"/>
    </row>
    <row r="234" ht="14.25" customHeight="1" s="113">
      <c r="A234" s="115" t="inlineStr">
        <is>
          <t>IA</t>
        </is>
      </c>
      <c r="B234" s="115" t="inlineStr">
        <is>
          <t>Cal</t>
        </is>
      </c>
      <c r="C234" s="116" t="n"/>
      <c r="D234" s="142" t="n"/>
      <c r="E234" s="115" t="inlineStr">
        <is>
          <t>9P2901</t>
        </is>
      </c>
      <c r="F234" s="118" t="n"/>
      <c r="G234" s="115" t="inlineStr">
        <is>
          <t>Urine NGAL Calibrator Kit (Alinity i)</t>
        </is>
      </c>
      <c r="H234" s="115" t="inlineStr">
        <is>
          <t>6x3 mL</t>
        </is>
      </c>
      <c r="I234" s="115" t="n"/>
      <c r="J234" s="115" t="n"/>
      <c r="K234" s="115" t="n"/>
      <c r="L234" s="142" t="n"/>
      <c r="M234" s="165" t="n"/>
    </row>
    <row r="235" ht="14.25" customHeight="1" s="113">
      <c r="A235" s="115" t="inlineStr">
        <is>
          <t>IA</t>
        </is>
      </c>
      <c r="B235" s="115" t="inlineStr">
        <is>
          <t>Dil</t>
        </is>
      </c>
      <c r="C235" s="116" t="n"/>
      <c r="D235" s="142" t="n"/>
      <c r="E235" s="115" t="inlineStr">
        <is>
          <t>9P1540</t>
        </is>
      </c>
      <c r="F235" s="118" t="n"/>
      <c r="G235" s="115" t="inlineStr">
        <is>
          <t>Common Diluent (Alinity i)</t>
        </is>
      </c>
      <c r="H235" s="115" t="inlineStr">
        <is>
          <t>1x100 mL</t>
        </is>
      </c>
      <c r="I235" s="115" t="n"/>
      <c r="J235" s="115" t="n"/>
      <c r="K235" s="115" t="n"/>
      <c r="L235" s="142" t="n"/>
      <c r="M235" s="164" t="inlineStr">
        <is>
          <t>?</t>
        </is>
      </c>
    </row>
    <row r="236" ht="14.25" customHeight="1" s="113">
      <c r="A236" s="115" t="inlineStr">
        <is>
          <t>CC</t>
        </is>
      </c>
      <c r="B236" s="115" t="inlineStr">
        <is>
          <t>Cons</t>
        </is>
      </c>
      <c r="C236" s="116" t="n"/>
      <c r="D236" s="142" t="n"/>
      <c r="E236" s="115" t="inlineStr">
        <is>
          <t>1R6070</t>
        </is>
      </c>
      <c r="F236" s="118" t="n"/>
      <c r="G236" s="115" t="inlineStr">
        <is>
          <t>Alinity c Acid Probe Wash</t>
        </is>
      </c>
      <c r="H236" s="115" t="inlineStr">
        <is>
          <t>10 pz.</t>
        </is>
      </c>
      <c r="I236" s="115" t="n"/>
      <c r="J236" s="115" t="n"/>
      <c r="K236" s="115" t="n"/>
      <c r="L236" s="142" t="n"/>
      <c r="M236" s="164" t="inlineStr">
        <is>
          <t>28 ???</t>
        </is>
      </c>
    </row>
    <row r="237" ht="14.25" customHeight="1" s="113">
      <c r="A237" s="115" t="inlineStr">
        <is>
          <t>CC</t>
        </is>
      </c>
      <c r="B237" s="115" t="inlineStr">
        <is>
          <t>Cons</t>
        </is>
      </c>
      <c r="C237" s="116" t="n"/>
      <c r="D237" s="142" t="n"/>
      <c r="E237" s="115" t="inlineStr">
        <is>
          <t>8P7740</t>
        </is>
      </c>
      <c r="F237" s="118" t="n"/>
      <c r="G237" s="115" t="inlineStr">
        <is>
          <t>Alinity c Acid Wash Solution</t>
        </is>
      </c>
      <c r="H237" s="115" t="inlineStr">
        <is>
          <t>2x500 mL</t>
        </is>
      </c>
      <c r="I237" s="115" t="n"/>
      <c r="J237" s="115" t="n"/>
      <c r="K237" s="115" t="n"/>
      <c r="L237" s="142" t="n"/>
      <c r="M237" s="164" t="n">
        <v>6</v>
      </c>
    </row>
    <row r="238" ht="14.25" customHeight="1" s="113">
      <c r="A238" s="115" t="inlineStr">
        <is>
          <t>CC</t>
        </is>
      </c>
      <c r="B238" s="115" t="inlineStr">
        <is>
          <t>Cons</t>
        </is>
      </c>
      <c r="C238" s="116" t="n"/>
      <c r="D238" s="142" t="n"/>
      <c r="E238" s="115" t="inlineStr">
        <is>
          <t>8P7840</t>
        </is>
      </c>
      <c r="F238" s="118" t="n"/>
      <c r="G238" s="115" t="inlineStr">
        <is>
          <t>Alinity c Alkaline Wash Solution</t>
        </is>
      </c>
      <c r="H238" s="115" t="inlineStr">
        <is>
          <t>2x500 mL</t>
        </is>
      </c>
      <c r="I238" s="115" t="n"/>
      <c r="J238" s="115" t="n"/>
      <c r="K238" s="115" t="n"/>
      <c r="L238" s="142" t="n"/>
      <c r="M238" s="164" t="n">
        <v>11</v>
      </c>
    </row>
    <row r="239" ht="14.25" customHeight="1" s="113">
      <c r="A239" s="115" t="inlineStr">
        <is>
          <t>CC</t>
        </is>
      </c>
      <c r="B239" s="115" t="inlineStr">
        <is>
          <t>Cons</t>
        </is>
      </c>
      <c r="C239" s="116" t="n"/>
      <c r="D239" s="142" t="n"/>
      <c r="E239" s="115" t="inlineStr">
        <is>
          <t>4S4602</t>
        </is>
      </c>
      <c r="F239" s="118" t="n"/>
      <c r="G239" s="115" t="inlineStr">
        <is>
          <t>Alinity c Customer Maintenance Kit</t>
        </is>
      </c>
      <c r="H239" s="115" t="inlineStr">
        <is>
          <t>1 pz.</t>
        </is>
      </c>
      <c r="I239" s="115" t="n"/>
      <c r="J239" s="115" t="n"/>
      <c r="K239" s="115" t="n"/>
      <c r="L239" s="142" t="n"/>
      <c r="M239" s="164" t="inlineStr">
        <is>
          <t>?</t>
        </is>
      </c>
    </row>
    <row r="240" ht="14.25" customHeight="1" s="113">
      <c r="A240" s="115" t="inlineStr">
        <is>
          <t>CC</t>
        </is>
      </c>
      <c r="B240" s="115" t="inlineStr">
        <is>
          <t>Cons</t>
        </is>
      </c>
      <c r="C240" s="116" t="n"/>
      <c r="D240" s="142" t="n"/>
      <c r="E240" s="115" t="inlineStr">
        <is>
          <t>9D3403</t>
        </is>
      </c>
      <c r="F240" s="118" t="n"/>
      <c r="G240" s="115" t="inlineStr">
        <is>
          <t>Alinity c Wash Solution Check Valve</t>
        </is>
      </c>
      <c r="H240" s="115" t="inlineStr">
        <is>
          <t>4 pz.</t>
        </is>
      </c>
      <c r="I240" s="115" t="n"/>
      <c r="J240" s="115" t="n"/>
      <c r="K240" s="115" t="n"/>
      <c r="L240" s="142" t="n"/>
      <c r="M240" s="164" t="inlineStr">
        <is>
          <t>?</t>
        </is>
      </c>
    </row>
    <row r="241" ht="14.25" customHeight="1" s="113">
      <c r="A241" s="115" t="inlineStr">
        <is>
          <t>CC</t>
        </is>
      </c>
      <c r="B241" s="115" t="inlineStr">
        <is>
          <t>Cons</t>
        </is>
      </c>
      <c r="C241" s="116" t="n"/>
      <c r="D241" s="142" t="n"/>
      <c r="E241" s="115" t="inlineStr">
        <is>
          <t>9D3503</t>
        </is>
      </c>
      <c r="F241" s="118" t="n"/>
      <c r="G241" s="115" t="inlineStr">
        <is>
          <t>Alinity c ICT Check Valve</t>
        </is>
      </c>
      <c r="H241" s="115" t="inlineStr">
        <is>
          <t>2 pz.</t>
        </is>
      </c>
      <c r="I241" s="115" t="n"/>
      <c r="J241" s="115" t="n"/>
      <c r="K241" s="115" t="n"/>
      <c r="L241" s="142" t="n"/>
      <c r="M241" s="164" t="inlineStr">
        <is>
          <t>?</t>
        </is>
      </c>
    </row>
    <row r="242" ht="14.25" customHeight="1" s="113">
      <c r="A242" s="115" t="inlineStr">
        <is>
          <t>CC</t>
        </is>
      </c>
      <c r="B242" s="115" t="inlineStr">
        <is>
          <t>Cons</t>
        </is>
      </c>
      <c r="C242" s="116" t="n"/>
      <c r="D242" s="142" t="n"/>
      <c r="E242" s="115" t="inlineStr">
        <is>
          <t>4S5201</t>
        </is>
      </c>
      <c r="F242" s="118" t="n"/>
      <c r="G242" s="115" t="inlineStr">
        <is>
          <t>Alinity c Asciuga cuvette</t>
        </is>
      </c>
      <c r="H242" s="115" t="inlineStr">
        <is>
          <t>2 pz.</t>
        </is>
      </c>
      <c r="I242" s="115" t="n"/>
      <c r="J242" s="115" t="n"/>
      <c r="K242" s="115" t="n"/>
      <c r="L242" s="142" t="n"/>
      <c r="M242" s="164" t="inlineStr">
        <is>
          <t>?</t>
        </is>
      </c>
    </row>
    <row r="243" ht="14.25" customHeight="1" s="113">
      <c r="A243" s="115" t="inlineStr">
        <is>
          <t>CC</t>
        </is>
      </c>
      <c r="B243" s="115" t="inlineStr">
        <is>
          <t>Cons</t>
        </is>
      </c>
      <c r="C243" s="116" t="n"/>
      <c r="D243" s="142" t="n"/>
      <c r="E243" s="115" t="inlineStr">
        <is>
          <t>9D5904</t>
        </is>
      </c>
      <c r="F243" s="118" t="n"/>
      <c r="G243" s="115" t="inlineStr">
        <is>
          <t>Alinity c Mixer</t>
        </is>
      </c>
      <c r="H243" s="115" t="inlineStr">
        <is>
          <t>1 pz.</t>
        </is>
      </c>
      <c r="I243" s="115" t="n"/>
      <c r="J243" s="115" t="n"/>
      <c r="K243" s="115" t="n"/>
      <c r="L243" s="142" t="n"/>
      <c r="M243" s="164" t="inlineStr">
        <is>
          <t>?</t>
        </is>
      </c>
    </row>
    <row r="244" ht="14.25" customHeight="1" s="113">
      <c r="A244" s="115" t="inlineStr">
        <is>
          <t>CC</t>
        </is>
      </c>
      <c r="B244" s="115" t="inlineStr">
        <is>
          <t>Cons</t>
        </is>
      </c>
      <c r="C244" s="116" t="n"/>
      <c r="D244" s="142" t="n"/>
      <c r="E244" s="115" t="inlineStr">
        <is>
          <t>9D4503</t>
        </is>
      </c>
      <c r="F244" s="118" t="n"/>
      <c r="G244" s="115" t="inlineStr">
        <is>
          <t>Alinity c Lamp</t>
        </is>
      </c>
      <c r="H244" s="115" t="inlineStr">
        <is>
          <t>1 pz.</t>
        </is>
      </c>
      <c r="I244" s="115" t="n"/>
      <c r="J244" s="115" t="n"/>
      <c r="K244" s="115" t="n"/>
      <c r="L244" s="142" t="n"/>
      <c r="M244" s="164" t="inlineStr">
        <is>
          <t>?</t>
        </is>
      </c>
    </row>
    <row r="245" ht="14.25" customHeight="1" s="113">
      <c r="A245" s="115" t="inlineStr">
        <is>
          <t>CC</t>
        </is>
      </c>
      <c r="B245" s="115" t="inlineStr">
        <is>
          <t>Cons</t>
        </is>
      </c>
      <c r="C245" s="116" t="n"/>
      <c r="D245" s="142" t="n"/>
      <c r="E245" s="115" t="inlineStr">
        <is>
          <t>9D6304</t>
        </is>
      </c>
      <c r="F245" s="118" t="n"/>
      <c r="G245" s="115" t="inlineStr">
        <is>
          <t>Alinity c ICT probe</t>
        </is>
      </c>
      <c r="H245" s="115" t="inlineStr">
        <is>
          <t>1 pz.</t>
        </is>
      </c>
      <c r="I245" s="115" t="n"/>
      <c r="J245" s="115" t="n"/>
      <c r="K245" s="115" t="n"/>
      <c r="L245" s="142" t="n"/>
      <c r="M245" s="164" t="inlineStr">
        <is>
          <t>?</t>
        </is>
      </c>
    </row>
    <row r="246" ht="14.25" customHeight="1" s="113">
      <c r="A246" s="115" t="inlineStr">
        <is>
          <t>CC</t>
        </is>
      </c>
      <c r="B246" s="115" t="inlineStr">
        <is>
          <t>Cons</t>
        </is>
      </c>
      <c r="C246" s="116" t="n"/>
      <c r="D246" s="142" t="n"/>
      <c r="E246" s="115" t="inlineStr">
        <is>
          <t>1G4805</t>
        </is>
      </c>
      <c r="F246" s="118" t="n"/>
      <c r="G246" s="115" t="inlineStr">
        <is>
          <t>Alinity c Sample Probe Tubing</t>
        </is>
      </c>
      <c r="H246" s="115" t="inlineStr">
        <is>
          <t>1 pz.</t>
        </is>
      </c>
      <c r="I246" s="115" t="n"/>
      <c r="J246" s="115" t="n"/>
      <c r="K246" s="115" t="n"/>
      <c r="L246" s="142" t="n"/>
      <c r="M246" s="164" t="inlineStr">
        <is>
          <t>?</t>
        </is>
      </c>
    </row>
    <row r="247" ht="14.25" customHeight="1" s="113">
      <c r="A247" s="115" t="inlineStr">
        <is>
          <t>CC</t>
        </is>
      </c>
      <c r="B247" s="115" t="inlineStr">
        <is>
          <t>Cons</t>
        </is>
      </c>
      <c r="C247" s="116" t="n"/>
      <c r="D247" s="142" t="n"/>
      <c r="E247" s="115" t="inlineStr">
        <is>
          <t>4S4901</t>
        </is>
      </c>
      <c r="F247" s="118" t="n"/>
      <c r="G247" s="115" t="inlineStr">
        <is>
          <t>Alinity c Reagent probe</t>
        </is>
      </c>
      <c r="H247" s="115" t="inlineStr">
        <is>
          <t>1 pz.</t>
        </is>
      </c>
      <c r="I247" s="115" t="n"/>
      <c r="J247" s="115" t="n"/>
      <c r="K247" s="115" t="n"/>
      <c r="L247" s="142" t="n"/>
      <c r="M247" s="164" t="inlineStr">
        <is>
          <t>?</t>
        </is>
      </c>
    </row>
    <row r="248" ht="14.25" customHeight="1" s="113">
      <c r="A248" s="115" t="inlineStr">
        <is>
          <t>CC</t>
        </is>
      </c>
      <c r="B248" s="115" t="inlineStr">
        <is>
          <t>Cons</t>
        </is>
      </c>
      <c r="C248" s="116" t="n"/>
      <c r="D248" s="142" t="n"/>
      <c r="E248" s="115" t="inlineStr">
        <is>
          <t>4S5001</t>
        </is>
      </c>
      <c r="F248" s="118" t="n"/>
      <c r="G248" s="115" t="inlineStr">
        <is>
          <t>Alinity c Reagent Probe Tubing</t>
        </is>
      </c>
      <c r="H248" s="115" t="inlineStr">
        <is>
          <t>1 pz.</t>
        </is>
      </c>
      <c r="I248" s="115" t="n"/>
      <c r="J248" s="115" t="n"/>
      <c r="K248" s="115" t="n"/>
      <c r="L248" s="142" t="n"/>
      <c r="M248" s="164" t="inlineStr">
        <is>
          <t>?</t>
        </is>
      </c>
    </row>
    <row r="249" ht="14.25" customHeight="1" s="113">
      <c r="A249" s="115" t="inlineStr">
        <is>
          <t>CC</t>
        </is>
      </c>
      <c r="B249" s="115" t="inlineStr">
        <is>
          <t>Cons</t>
        </is>
      </c>
      <c r="C249" s="116" t="n"/>
      <c r="D249" s="142" t="n"/>
      <c r="E249" s="115" t="inlineStr">
        <is>
          <t>4S5101</t>
        </is>
      </c>
      <c r="F249" s="118" t="n"/>
      <c r="G249" s="115" t="inlineStr">
        <is>
          <t>Alinity c Sample probe</t>
        </is>
      </c>
      <c r="H249" s="115" t="inlineStr">
        <is>
          <t>1 pz.</t>
        </is>
      </c>
      <c r="I249" s="115" t="n"/>
      <c r="J249" s="115" t="n"/>
      <c r="K249" s="115" t="n"/>
      <c r="L249" s="142" t="n"/>
      <c r="M249" s="164" t="inlineStr">
        <is>
          <t>?</t>
        </is>
      </c>
    </row>
    <row r="250" ht="14.25" customHeight="1" s="113">
      <c r="A250" s="115" t="inlineStr">
        <is>
          <t>CC</t>
        </is>
      </c>
      <c r="B250" s="115" t="inlineStr">
        <is>
          <t>Cons</t>
        </is>
      </c>
      <c r="C250" s="116" t="n"/>
      <c r="D250" s="142" t="n"/>
      <c r="E250" s="115" t="inlineStr">
        <is>
          <t>9D4202</t>
        </is>
      </c>
      <c r="F250" s="118" t="n"/>
      <c r="G250" s="115" t="inlineStr">
        <is>
          <t>Alinity c Cuvette Wiper</t>
        </is>
      </c>
      <c r="H250" s="115" t="inlineStr">
        <is>
          <t>1 pz.</t>
        </is>
      </c>
      <c r="I250" s="115" t="n"/>
      <c r="J250" s="115" t="n"/>
      <c r="K250" s="115" t="n"/>
      <c r="L250" s="142" t="n"/>
      <c r="M250" s="164" t="inlineStr">
        <is>
          <t>?</t>
        </is>
      </c>
    </row>
    <row r="251" ht="14.25" customHeight="1" s="113">
      <c r="A251" s="115" t="inlineStr">
        <is>
          <t>CC</t>
        </is>
      </c>
      <c r="B251" s="115" t="inlineStr">
        <is>
          <t>Cons</t>
        </is>
      </c>
      <c r="C251" s="116" t="n"/>
      <c r="D251" s="142" t="n"/>
      <c r="E251" s="115" t="inlineStr">
        <is>
          <t>8P9670</t>
        </is>
      </c>
      <c r="F251" s="118" t="n"/>
      <c r="G251" s="115" t="inlineStr">
        <is>
          <t>Alinity c Detergent A</t>
        </is>
      </c>
      <c r="H251" s="115" t="inlineStr">
        <is>
          <t>10 pz.</t>
        </is>
      </c>
      <c r="I251" s="115" t="n"/>
      <c r="J251" s="115" t="n"/>
      <c r="K251" s="115" t="n"/>
      <c r="L251" s="142" t="n"/>
      <c r="M251" s="164" t="n">
        <v>13</v>
      </c>
    </row>
    <row r="252" ht="14.25" customHeight="1" s="113">
      <c r="A252" s="115" t="inlineStr">
        <is>
          <t>CC</t>
        </is>
      </c>
      <c r="B252" s="115" t="inlineStr">
        <is>
          <t>Cons</t>
        </is>
      </c>
      <c r="C252" s="116" t="n"/>
      <c r="D252" s="142" t="n"/>
      <c r="E252" s="115" t="inlineStr">
        <is>
          <t>8P9781</t>
        </is>
      </c>
      <c r="F252" s="118" t="n"/>
      <c r="G252" s="115" t="inlineStr">
        <is>
          <t>Alinity c Detergent B</t>
        </is>
      </c>
      <c r="H252" s="115" t="inlineStr">
        <is>
          <t>10 pz.</t>
        </is>
      </c>
      <c r="I252" s="115" t="n"/>
      <c r="J252" s="115" t="n"/>
      <c r="K252" s="115" t="n"/>
      <c r="L252" s="142" t="n"/>
      <c r="M252" s="164" t="n">
        <v>7</v>
      </c>
    </row>
    <row r="253" ht="14.25" customHeight="1" s="113">
      <c r="A253" s="115" t="inlineStr">
        <is>
          <t>CC</t>
        </is>
      </c>
      <c r="B253" s="115" t="inlineStr">
        <is>
          <t>Cons</t>
        </is>
      </c>
      <c r="C253" s="116" t="n"/>
      <c r="D253" s="142" t="n"/>
      <c r="E253" s="115" t="inlineStr">
        <is>
          <t>8P7640</t>
        </is>
      </c>
      <c r="F253" s="118" t="n"/>
      <c r="G253" s="115" t="inlineStr">
        <is>
          <t>Alinity c ICT Reference Solution</t>
        </is>
      </c>
      <c r="H253" s="115" t="inlineStr">
        <is>
          <t>4x975 mL</t>
        </is>
      </c>
      <c r="I253" s="115" t="n"/>
      <c r="J253" s="115" t="n"/>
      <c r="K253" s="115" t="n"/>
      <c r="L253" s="142" t="n"/>
      <c r="M253" s="164" t="n">
        <v>8</v>
      </c>
    </row>
    <row r="254" ht="14.25" customHeight="1" s="113">
      <c r="A254" s="115" t="inlineStr">
        <is>
          <t>CC</t>
        </is>
      </c>
      <c r="B254" s="115" t="inlineStr">
        <is>
          <t>Cons</t>
        </is>
      </c>
      <c r="C254" s="116" t="n"/>
      <c r="D254" s="142" t="n"/>
      <c r="E254" s="115" t="inlineStr">
        <is>
          <t>7P5320</t>
        </is>
      </c>
      <c r="F254" s="118" t="n"/>
      <c r="G254" s="115" t="inlineStr">
        <is>
          <t>Alinity c ICT Sample Diluent</t>
        </is>
      </c>
      <c r="H254" s="115" t="inlineStr">
        <is>
          <t>10x935 mL</t>
        </is>
      </c>
      <c r="I254" s="115" t="n"/>
      <c r="J254" s="115" t="n"/>
      <c r="K254" s="115" t="n"/>
      <c r="L254" s="142" t="n"/>
      <c r="M254" s="164" t="inlineStr">
        <is>
          <t>?</t>
        </is>
      </c>
    </row>
    <row r="255" ht="14.25" customHeight="1" s="113">
      <c r="A255" s="115" t="inlineStr">
        <is>
          <t>CC</t>
        </is>
      </c>
      <c r="B255" s="115" t="inlineStr">
        <is>
          <t>Cons</t>
        </is>
      </c>
      <c r="C255" s="116" t="n"/>
      <c r="D255" s="142" t="n"/>
      <c r="E255" s="115" t="inlineStr">
        <is>
          <t>8P9870</t>
        </is>
      </c>
      <c r="F255" s="118" t="n"/>
      <c r="G255" s="115" t="inlineStr">
        <is>
          <t>Alinity c Maintenance Solutions</t>
        </is>
      </c>
      <c r="H255" s="115" t="inlineStr">
        <is>
          <t>10 pz.</t>
        </is>
      </c>
      <c r="I255" s="115" t="n"/>
      <c r="J255" s="115" t="n"/>
      <c r="K255" s="115" t="n"/>
      <c r="L255" s="142" t="n"/>
      <c r="M255" s="164" t="inlineStr">
        <is>
          <t>?</t>
        </is>
      </c>
    </row>
    <row r="256" ht="14.25" customHeight="1" s="113">
      <c r="A256" s="115" t="inlineStr">
        <is>
          <t>CC</t>
        </is>
      </c>
      <c r="B256" s="115" t="inlineStr">
        <is>
          <t>Cons</t>
        </is>
      </c>
      <c r="C256" s="116" t="n"/>
      <c r="D256" s="142" t="n"/>
      <c r="E256" s="115" t="inlineStr">
        <is>
          <t>4R1001</t>
        </is>
      </c>
      <c r="F256" s="118" t="n"/>
      <c r="G256" s="115" t="inlineStr">
        <is>
          <t>Alinity Calib/Cont Replacement Caps</t>
        </is>
      </c>
      <c r="H256" s="115" t="inlineStr">
        <is>
          <t>100 pz.</t>
        </is>
      </c>
      <c r="I256" s="115" t="n"/>
      <c r="J256" s="115" t="n"/>
      <c r="K256" s="115" t="n"/>
      <c r="L256" s="142" t="n"/>
      <c r="M256" s="164" t="inlineStr">
        <is>
          <t>?</t>
        </is>
      </c>
    </row>
    <row r="257" ht="14.25" customHeight="1" s="113">
      <c r="A257" s="115" t="inlineStr">
        <is>
          <t>CC</t>
        </is>
      </c>
      <c r="B257" s="115" t="inlineStr">
        <is>
          <t>Cons</t>
        </is>
      </c>
      <c r="C257" s="116" t="n"/>
      <c r="D257" s="142" t="n"/>
      <c r="E257" s="115" t="inlineStr">
        <is>
          <t>4S1720</t>
        </is>
      </c>
      <c r="F257" s="118" t="n"/>
      <c r="G257" s="115" t="inlineStr">
        <is>
          <t>Alinity c Reagent Cartridge, Black (small)</t>
        </is>
      </c>
      <c r="H257" s="115" t="inlineStr">
        <is>
          <t>10 pz.</t>
        </is>
      </c>
      <c r="I257" s="115" t="n"/>
      <c r="J257" s="115" t="n"/>
      <c r="K257" s="115" t="n"/>
      <c r="L257" s="142" t="n"/>
      <c r="M257" s="164" t="inlineStr">
        <is>
          <t>?</t>
        </is>
      </c>
    </row>
    <row r="258" ht="14.25" customHeight="1" s="113">
      <c r="A258" s="115" t="inlineStr">
        <is>
          <t>CC</t>
        </is>
      </c>
      <c r="B258" s="115" t="inlineStr">
        <is>
          <t>Cons</t>
        </is>
      </c>
      <c r="C258" s="116" t="n"/>
      <c r="D258" s="142" t="n"/>
      <c r="E258" s="115" t="inlineStr">
        <is>
          <t>4S1750</t>
        </is>
      </c>
      <c r="F258" s="118" t="n"/>
      <c r="G258" s="115" t="inlineStr">
        <is>
          <t>Alinity c Reagent Cartridge, Black (large)</t>
        </is>
      </c>
      <c r="H258" s="115" t="inlineStr">
        <is>
          <t>10 pz.</t>
        </is>
      </c>
      <c r="I258" s="115" t="n"/>
      <c r="J258" s="115" t="n"/>
      <c r="K258" s="115" t="n"/>
      <c r="L258" s="142" t="n"/>
      <c r="M258" s="164" t="inlineStr">
        <is>
          <t>?</t>
        </is>
      </c>
    </row>
    <row r="259" ht="14.25" customHeight="1" s="113">
      <c r="A259" s="115" t="inlineStr">
        <is>
          <t>CC</t>
        </is>
      </c>
      <c r="B259" s="115" t="inlineStr">
        <is>
          <t>Cons</t>
        </is>
      </c>
      <c r="C259" s="116" t="n"/>
      <c r="D259" s="142" t="n"/>
      <c r="E259" s="115" t="inlineStr">
        <is>
          <t>4S1740</t>
        </is>
      </c>
      <c r="F259" s="118" t="n"/>
      <c r="G259" s="115" t="inlineStr">
        <is>
          <t>Alinity c Reagent Cartridge, Clear (large)</t>
        </is>
      </c>
      <c r="H259" s="115" t="inlineStr">
        <is>
          <t>10 pz.</t>
        </is>
      </c>
      <c r="I259" s="115" t="n"/>
      <c r="J259" s="115" t="n"/>
      <c r="K259" s="115" t="n"/>
      <c r="L259" s="142" t="n"/>
      <c r="M259" s="164" t="inlineStr">
        <is>
          <t>?</t>
        </is>
      </c>
    </row>
    <row r="260" ht="14.25" customHeight="1" s="113">
      <c r="A260" s="115" t="inlineStr">
        <is>
          <t>CC</t>
        </is>
      </c>
      <c r="B260" s="115" t="inlineStr">
        <is>
          <t>Cal</t>
        </is>
      </c>
      <c r="C260" s="116" t="n"/>
      <c r="D260" s="142" t="n"/>
      <c r="E260" s="115" t="inlineStr">
        <is>
          <t>1R0601</t>
        </is>
      </c>
      <c r="F260" s="118" t="n"/>
      <c r="G260" s="115" t="inlineStr">
        <is>
          <t>ASO Calibrator (Alinity c)</t>
        </is>
      </c>
      <c r="H260" s="115" t="inlineStr">
        <is>
          <t>6x1 mL</t>
        </is>
      </c>
      <c r="I260" s="115" t="n"/>
      <c r="J260" s="115" t="n"/>
      <c r="K260" s="115" t="n"/>
      <c r="L260" s="142" t="n"/>
      <c r="M260" s="165" t="n"/>
    </row>
    <row r="261" ht="14.25" customHeight="1" s="113">
      <c r="A261" s="115" t="inlineStr">
        <is>
          <t>CC</t>
        </is>
      </c>
      <c r="B261" s="115" t="inlineStr">
        <is>
          <t>Cal</t>
        </is>
      </c>
      <c r="C261" s="116" t="n"/>
      <c r="D261" s="142" t="n"/>
      <c r="E261" s="115" t="inlineStr">
        <is>
          <t>1R0901</t>
        </is>
      </c>
      <c r="F261" s="118" t="n"/>
      <c r="G261" s="115" t="inlineStr">
        <is>
          <t>B2-Microglobulin Calibrator (Alinity c)</t>
        </is>
      </c>
      <c r="H261" s="115" t="inlineStr">
        <is>
          <t>1 liv x3x1 mL</t>
        </is>
      </c>
      <c r="I261" s="115" t="n"/>
      <c r="J261" s="115" t="n"/>
      <c r="K261" s="115" t="n"/>
      <c r="L261" s="142" t="n"/>
      <c r="M261" s="165" t="n"/>
    </row>
    <row r="262" ht="14.25" customHeight="1" s="113">
      <c r="A262" s="115" t="inlineStr">
        <is>
          <t>CC</t>
        </is>
      </c>
      <c r="B262" s="115" t="inlineStr">
        <is>
          <t>Cal</t>
        </is>
      </c>
      <c r="C262" s="116" t="n"/>
      <c r="D262" s="142" t="n"/>
      <c r="E262" s="115" t="inlineStr">
        <is>
          <t>9P5202</t>
        </is>
      </c>
      <c r="F262" s="118" t="n"/>
      <c r="G262" s="115" t="inlineStr">
        <is>
          <t>Benzodiazepines Semiquant Calibrator (Alinity c)</t>
        </is>
      </c>
      <c r="H262" s="115" t="inlineStr">
        <is>
          <t>4x1x2,9 mL</t>
        </is>
      </c>
      <c r="I262" s="115" t="n"/>
      <c r="J262" s="115" t="n"/>
      <c r="K262" s="115" t="n"/>
      <c r="L262" s="142" t="n"/>
      <c r="M262" s="165" t="n"/>
    </row>
    <row r="263" ht="14.25" customHeight="1" s="113">
      <c r="A263" s="115" t="inlineStr">
        <is>
          <t>CC</t>
        </is>
      </c>
      <c r="B263" s="115" t="inlineStr">
        <is>
          <t>Cal</t>
        </is>
      </c>
      <c r="C263" s="116" t="n"/>
      <c r="D263" s="142" t="n"/>
      <c r="E263" s="115" t="inlineStr">
        <is>
          <t>8P6101</t>
        </is>
      </c>
      <c r="F263" s="118" t="n"/>
      <c r="G263" s="115" t="inlineStr">
        <is>
          <t>Bilirubin Calibrator Kit (Alinity c)</t>
        </is>
      </c>
      <c r="H263" s="115" t="inlineStr">
        <is>
          <t>2 liv x(3x5 mL)</t>
        </is>
      </c>
      <c r="I263" s="115" t="n"/>
      <c r="J263" s="115" t="n"/>
      <c r="K263" s="115" t="n"/>
      <c r="L263" s="142" t="n"/>
      <c r="M263" s="165" t="n"/>
    </row>
    <row r="264" ht="14.25" customHeight="1" s="113">
      <c r="A264" s="115" t="inlineStr">
        <is>
          <t>CC</t>
        </is>
      </c>
      <c r="B264" s="115" t="inlineStr">
        <is>
          <t>Cal</t>
        </is>
      </c>
      <c r="C264" s="116" t="n"/>
      <c r="D264" s="142" t="n"/>
      <c r="E264" s="115" t="inlineStr">
        <is>
          <t>4Z4202</t>
        </is>
      </c>
      <c r="F264" s="118" t="n"/>
      <c r="G264" s="115" t="inlineStr">
        <is>
          <t>Buprenorphine Calibrator Kit (Alinity c)</t>
        </is>
      </c>
      <c r="H264" s="115" t="inlineStr">
        <is>
          <t>5x10 mL</t>
        </is>
      </c>
      <c r="I264" s="115" t="n"/>
      <c r="J264" s="115" t="n"/>
      <c r="K264" s="115" t="n"/>
      <c r="L264" s="142" t="n"/>
      <c r="M264" s="165" t="n"/>
    </row>
    <row r="265" ht="14.25" customHeight="1" s="113">
      <c r="A265" s="115" t="inlineStr">
        <is>
          <t>CC</t>
        </is>
      </c>
      <c r="B265" s="115" t="inlineStr">
        <is>
          <t>Cal</t>
        </is>
      </c>
      <c r="C265" s="116" t="n"/>
      <c r="D265" s="142" t="n"/>
      <c r="E265" s="115" t="inlineStr">
        <is>
          <t>4Z4404</t>
        </is>
      </c>
      <c r="F265" s="118" t="n"/>
      <c r="G265" s="115" t="inlineStr">
        <is>
          <t>Fentanyl Neg Calibrator Kit (Alinity c)</t>
        </is>
      </c>
      <c r="H265" s="115" t="inlineStr">
        <is>
          <t>1x5 mL</t>
        </is>
      </c>
      <c r="I265" s="115" t="n"/>
      <c r="J265" s="115" t="n"/>
      <c r="K265" s="115" t="n"/>
      <c r="L265" s="142" t="n"/>
      <c r="M265" s="165" t="n"/>
    </row>
    <row r="266" ht="14.25" customHeight="1" s="113">
      <c r="A266" s="115" t="inlineStr">
        <is>
          <t>CC</t>
        </is>
      </c>
      <c r="B266" s="115" t="inlineStr">
        <is>
          <t>Cal</t>
        </is>
      </c>
      <c r="C266" s="116" t="n"/>
      <c r="D266" s="142" t="n"/>
      <c r="E266" s="115" t="inlineStr">
        <is>
          <t>4Z4401</t>
        </is>
      </c>
      <c r="F266" s="118" t="n"/>
      <c r="G266" s="115" t="inlineStr">
        <is>
          <t>Fentanyl Calibrator Kit (Alinity c)</t>
        </is>
      </c>
      <c r="H266" s="115" t="inlineStr">
        <is>
          <t>1x5 mL</t>
        </is>
      </c>
      <c r="I266" s="115" t="n"/>
      <c r="J266" s="115" t="n"/>
      <c r="K266" s="115" t="n"/>
      <c r="L266" s="142" t="n"/>
      <c r="M266" s="165" t="n"/>
    </row>
    <row r="267" ht="14.25" customHeight="1" s="113">
      <c r="A267" s="115" t="inlineStr">
        <is>
          <t>CC</t>
        </is>
      </c>
      <c r="B267" s="115" t="inlineStr">
        <is>
          <t>Cal</t>
        </is>
      </c>
      <c r="C267" s="116" t="n"/>
      <c r="D267" s="142" t="n"/>
      <c r="E267" s="115" t="inlineStr">
        <is>
          <t>8P6503</t>
        </is>
      </c>
      <c r="F267" s="118" t="n"/>
      <c r="G267" s="115" t="inlineStr">
        <is>
          <t>Clinical Chemistry Calibrator Kit Sentinel (Alinity c)</t>
        </is>
      </c>
      <c r="H267" s="115" t="inlineStr">
        <is>
          <t>1 liv x(4x3 mL)</t>
        </is>
      </c>
      <c r="I267" s="115" t="n"/>
      <c r="J267" s="115" t="n"/>
      <c r="K267" s="115" t="n"/>
      <c r="L267" s="142" t="n"/>
      <c r="M267" s="165" t="n"/>
    </row>
    <row r="268" ht="14.25" customHeight="1" s="113">
      <c r="A268" s="115" t="inlineStr">
        <is>
          <t>CC</t>
        </is>
      </c>
      <c r="B268" s="115" t="inlineStr">
        <is>
          <t>Cal</t>
        </is>
      </c>
      <c r="C268" s="116" t="n"/>
      <c r="D268" s="142" t="n"/>
      <c r="E268" s="115" t="inlineStr">
        <is>
          <t>4V6201</t>
        </is>
      </c>
      <c r="F268" s="118" t="n"/>
      <c r="G268" s="115" t="inlineStr">
        <is>
          <t>Cons Chemistry Multiconst Cal (Alinity c)</t>
        </is>
      </c>
      <c r="H268" s="115" t="inlineStr">
        <is>
          <t>1x6x5 mL</t>
        </is>
      </c>
      <c r="I268" s="115" t="n"/>
      <c r="J268" s="115" t="n"/>
      <c r="K268" s="115" t="n"/>
      <c r="L268" s="142" t="n"/>
      <c r="M268" s="165" t="n"/>
    </row>
    <row r="269" ht="14.25" customHeight="1" s="113">
      <c r="A269" s="115" t="inlineStr">
        <is>
          <t>CC</t>
        </is>
      </c>
      <c r="B269" s="115" t="inlineStr">
        <is>
          <t>Cal</t>
        </is>
      </c>
      <c r="C269" s="116" t="n"/>
      <c r="D269" s="142" t="n"/>
      <c r="E269" s="115" t="inlineStr">
        <is>
          <t>7P5602</t>
        </is>
      </c>
      <c r="F269" s="118" t="n"/>
      <c r="G269" s="115" t="inlineStr">
        <is>
          <t>CRP Vario HS Calibrator Kit (Alinity c)</t>
        </is>
      </c>
      <c r="H269" s="115" t="inlineStr">
        <is>
          <t>6 liv x 2 mL</t>
        </is>
      </c>
      <c r="I269" s="115" t="n"/>
      <c r="J269" s="115" t="n"/>
      <c r="K269" s="115" t="n"/>
      <c r="L269" s="142" t="n"/>
      <c r="M269" s="165" t="n"/>
    </row>
    <row r="270" ht="23.85" customHeight="1" s="113">
      <c r="A270" s="115" t="inlineStr">
        <is>
          <t>CC</t>
        </is>
      </c>
      <c r="B270" s="115" t="inlineStr">
        <is>
          <t>Cal</t>
        </is>
      </c>
      <c r="C270" s="116" t="n"/>
      <c r="D270" s="142" t="n"/>
      <c r="E270" s="115" t="inlineStr">
        <is>
          <t>8P4101</t>
        </is>
      </c>
      <c r="F270" s="118" t="n"/>
      <c r="G270" s="115" t="inlineStr">
        <is>
          <t>Ethanol Calibrator Kit (Alinity c)</t>
        </is>
      </c>
      <c r="H270" s="154" t="inlineStr">
        <is>
          <t>Cal Neg 2x3 mL
Cal Pos 1x3 mL</t>
        </is>
      </c>
      <c r="I270" s="154" t="n"/>
      <c r="J270" s="115" t="n"/>
      <c r="K270" s="154" t="n"/>
      <c r="L270" s="142" t="n"/>
      <c r="M270" s="165" t="n"/>
    </row>
    <row r="271" ht="14.25" customHeight="1" s="113">
      <c r="A271" s="115" t="inlineStr">
        <is>
          <t>CC</t>
        </is>
      </c>
      <c r="B271" s="115" t="inlineStr">
        <is>
          <t>Cal</t>
        </is>
      </c>
      <c r="C271" s="116" t="n"/>
      <c r="D271" s="142" t="n"/>
      <c r="E271" s="115" t="inlineStr">
        <is>
          <t>8P6901</t>
        </is>
      </c>
      <c r="F271" s="118" t="n"/>
      <c r="G271" s="115" t="inlineStr">
        <is>
          <t>ICT Serum Calibrator Kit (Alinity c)</t>
        </is>
      </c>
      <c r="H271" s="115" t="inlineStr">
        <is>
          <t>2 liv x(5x2,9 mL)</t>
        </is>
      </c>
      <c r="I271" s="115" t="n"/>
      <c r="J271" s="115" t="n"/>
      <c r="K271" s="115" t="n"/>
      <c r="L271" s="142" t="n"/>
      <c r="M271" s="165" t="n"/>
    </row>
    <row r="272" ht="14.25" customHeight="1" s="113">
      <c r="A272" s="115" t="inlineStr">
        <is>
          <t>CC</t>
        </is>
      </c>
      <c r="B272" s="115" t="inlineStr">
        <is>
          <t>Cal</t>
        </is>
      </c>
      <c r="C272" s="116" t="n"/>
      <c r="D272" s="142" t="n"/>
      <c r="E272" s="115" t="inlineStr">
        <is>
          <t>8P7001</t>
        </is>
      </c>
      <c r="F272" s="118" t="n"/>
      <c r="G272" s="115" t="inlineStr">
        <is>
          <t>ICT Urine Calibrator Kit (Alinity c)</t>
        </is>
      </c>
      <c r="H272" s="115" t="inlineStr">
        <is>
          <t>2 liv x(5x2,9 mL)</t>
        </is>
      </c>
      <c r="I272" s="115" t="n"/>
      <c r="J272" s="115" t="n"/>
      <c r="K272" s="115" t="n"/>
      <c r="L272" s="142" t="n"/>
      <c r="M272" s="165" t="n"/>
    </row>
    <row r="273" ht="14.25" customHeight="1" s="113">
      <c r="A273" s="115" t="inlineStr">
        <is>
          <t>CC</t>
        </is>
      </c>
      <c r="B273" s="115" t="inlineStr">
        <is>
          <t>Cal</t>
        </is>
      </c>
      <c r="C273" s="116" t="n"/>
      <c r="D273" s="142" t="n"/>
      <c r="E273" s="115" t="inlineStr">
        <is>
          <t>1R1301</t>
        </is>
      </c>
      <c r="F273" s="118" t="n"/>
      <c r="G273" s="115" t="inlineStr">
        <is>
          <t>IgE Calibrator (Alinity c)</t>
        </is>
      </c>
      <c r="H273" s="115" t="inlineStr">
        <is>
          <t>5 liv x1x1 mL</t>
        </is>
      </c>
      <c r="I273" s="115" t="n"/>
      <c r="J273" s="115" t="n"/>
      <c r="K273" s="115" t="n"/>
      <c r="L273" s="142" t="n"/>
      <c r="M273" s="165" t="n"/>
    </row>
    <row r="274" ht="14.25" customHeight="1" s="113">
      <c r="A274" s="144" t="inlineStr">
        <is>
          <t>CC</t>
        </is>
      </c>
      <c r="B274" s="144" t="inlineStr">
        <is>
          <t>Cal</t>
        </is>
      </c>
      <c r="C274" s="150" t="n"/>
      <c r="D274" s="151" t="n"/>
      <c r="E274" s="144" t="inlineStr">
        <is>
          <t>04U0001</t>
        </is>
      </c>
      <c r="F274" s="118" t="n"/>
      <c r="G274" s="144" t="inlineStr">
        <is>
          <t>Alinity c Lipasi2 Cal</t>
        </is>
      </c>
      <c r="H274" s="144" t="inlineStr">
        <is>
          <t>1 Liv x (4x3) Ml-&gt; 1x(6x3,3)</t>
        </is>
      </c>
      <c r="I274" s="144" t="n"/>
      <c r="J274" s="115" t="n"/>
      <c r="K274" s="144" t="n"/>
      <c r="L274" s="142" t="n"/>
      <c r="M274" s="165" t="n"/>
    </row>
    <row r="275" ht="14.25" customHeight="1" s="113">
      <c r="A275" s="115" t="inlineStr">
        <is>
          <t>CC</t>
        </is>
      </c>
      <c r="B275" s="115" t="inlineStr">
        <is>
          <t>Cal</t>
        </is>
      </c>
      <c r="C275" s="116" t="n"/>
      <c r="D275" s="142" t="n"/>
      <c r="E275" s="115" t="inlineStr">
        <is>
          <t>9P1403</t>
        </is>
      </c>
      <c r="F275" s="118" t="n"/>
      <c r="G275" s="115" t="inlineStr">
        <is>
          <t>Lipid Multiconstituent Calibrator Kit (Alinity c)</t>
        </is>
      </c>
      <c r="H275" s="115" t="inlineStr">
        <is>
          <t>1 liv x(6x1 mL)</t>
        </is>
      </c>
      <c r="I275" s="115" t="n"/>
      <c r="J275" s="115" t="n"/>
      <c r="K275" s="115" t="n"/>
      <c r="L275" s="142" t="n"/>
      <c r="M275" s="165" t="n"/>
    </row>
    <row r="276" ht="14.25" customHeight="1" s="113">
      <c r="A276" s="115" t="inlineStr">
        <is>
          <t>CC</t>
        </is>
      </c>
      <c r="B276" s="115" t="inlineStr">
        <is>
          <t>Cal</t>
        </is>
      </c>
      <c r="C276" s="116" t="n"/>
      <c r="D276" s="142" t="n"/>
      <c r="E276" s="115" t="inlineStr">
        <is>
          <t>8P0404</t>
        </is>
      </c>
      <c r="F276" s="118" t="n"/>
      <c r="G276" s="115" t="inlineStr">
        <is>
          <t>Microalbumin Calibrator Kit (Alinity c)</t>
        </is>
      </c>
      <c r="H276" s="115" t="inlineStr">
        <is>
          <t>5 liv x 2 mL</t>
        </is>
      </c>
      <c r="I276" s="115" t="n"/>
      <c r="J276" s="115" t="n"/>
      <c r="K276" s="115" t="n"/>
      <c r="L276" s="142" t="n"/>
      <c r="M276" s="165" t="n"/>
    </row>
    <row r="277" ht="14.25" customHeight="1" s="113">
      <c r="A277" s="115" t="inlineStr">
        <is>
          <t>CC</t>
        </is>
      </c>
      <c r="B277" s="115" t="inlineStr">
        <is>
          <t>Cal</t>
        </is>
      </c>
      <c r="C277" s="116" t="n"/>
      <c r="D277" s="142" t="n"/>
      <c r="E277" s="115" t="inlineStr">
        <is>
          <t>8P6001</t>
        </is>
      </c>
      <c r="F277" s="118" t="n"/>
      <c r="G277" s="115" t="inlineStr">
        <is>
          <t>Multiconstituent Calibrator Kit (Alinity c)</t>
        </is>
      </c>
      <c r="H277" s="115" t="inlineStr">
        <is>
          <t>2 liv x(3x2,9 mL)</t>
        </is>
      </c>
      <c r="I277" s="115" t="n"/>
      <c r="J277" s="115" t="n"/>
      <c r="K277" s="115" t="n"/>
      <c r="L277" s="142" t="n"/>
      <c r="M277" s="165" t="n"/>
    </row>
    <row r="278" ht="14.25" customHeight="1" s="113">
      <c r="A278" s="115" t="inlineStr">
        <is>
          <t>CC</t>
        </is>
      </c>
      <c r="B278" s="115" t="inlineStr">
        <is>
          <t>Cal</t>
        </is>
      </c>
      <c r="C278" s="116" t="n"/>
      <c r="D278" s="142" t="n"/>
      <c r="E278" s="115" t="inlineStr">
        <is>
          <t>8P6601</t>
        </is>
      </c>
      <c r="F278" s="118" t="n"/>
      <c r="G278" s="115" t="inlineStr">
        <is>
          <t>Plasmaproteins Calibrator Sentinel (Alinity c)</t>
        </is>
      </c>
      <c r="H278" s="115" t="inlineStr">
        <is>
          <t>1 liv x4x1 mL</t>
        </is>
      </c>
      <c r="I278" s="115" t="n"/>
      <c r="J278" s="115" t="n"/>
      <c r="K278" s="115" t="n"/>
      <c r="L278" s="142" t="n"/>
      <c r="M278" s="165" t="n"/>
    </row>
    <row r="279" ht="14.25" customHeight="1" s="113">
      <c r="A279" s="115" t="inlineStr">
        <is>
          <t>CC</t>
        </is>
      </c>
      <c r="B279" s="115" t="inlineStr">
        <is>
          <t>Cal</t>
        </is>
      </c>
      <c r="C279" s="116" t="n"/>
      <c r="D279" s="142" t="n"/>
      <c r="E279" s="115" t="inlineStr">
        <is>
          <t>8P6701</t>
        </is>
      </c>
      <c r="F279" s="118" t="n"/>
      <c r="G279" s="115" t="inlineStr">
        <is>
          <t>Proteins Calibrator (Alinity c)</t>
        </is>
      </c>
      <c r="H279" s="115" t="inlineStr">
        <is>
          <t>5 liv x1x1 mL</t>
        </is>
      </c>
      <c r="I279" s="115" t="n"/>
      <c r="J279" s="115" t="n"/>
      <c r="K279" s="115" t="n"/>
      <c r="L279" s="142" t="n"/>
      <c r="M279" s="165" t="n"/>
    </row>
    <row r="280" ht="14.25" customHeight="1" s="113">
      <c r="A280" s="115" t="inlineStr">
        <is>
          <t>CC</t>
        </is>
      </c>
      <c r="B280" s="115" t="inlineStr">
        <is>
          <t>Cal</t>
        </is>
      </c>
      <c r="C280" s="116" t="n"/>
      <c r="D280" s="142" t="n"/>
      <c r="E280" s="115" t="inlineStr">
        <is>
          <t>1R1601</t>
        </is>
      </c>
      <c r="F280" s="118" t="n"/>
      <c r="G280" s="115" t="inlineStr">
        <is>
          <t>RF Calibrator (Alinity c)</t>
        </is>
      </c>
      <c r="H280" s="115" t="inlineStr">
        <is>
          <t>6x1 mL</t>
        </is>
      </c>
      <c r="I280" s="115" t="n"/>
      <c r="J280" s="115" t="n"/>
      <c r="K280" s="115" t="n"/>
      <c r="L280" s="142" t="n"/>
      <c r="M280" s="165" t="n"/>
    </row>
    <row r="281" ht="14.25" customHeight="1" s="113">
      <c r="A281" s="115" t="inlineStr">
        <is>
          <t>CC</t>
        </is>
      </c>
      <c r="B281" s="115" t="inlineStr">
        <is>
          <t>Cal</t>
        </is>
      </c>
      <c r="C281" s="116" t="n"/>
      <c r="D281" s="142" t="n"/>
      <c r="E281" s="115" t="inlineStr">
        <is>
          <t>8P6201</t>
        </is>
      </c>
      <c r="F281" s="118" t="n"/>
      <c r="G281" s="115" t="inlineStr">
        <is>
          <t>Specific Proteins Multiconst Cal (Alinity c)</t>
        </is>
      </c>
      <c r="H281" s="115" t="inlineStr">
        <is>
          <t>5 liv x 1 mL</t>
        </is>
      </c>
      <c r="I281" s="115" t="n"/>
      <c r="J281" s="115" t="n"/>
      <c r="K281" s="115" t="n"/>
      <c r="L281" s="142" t="n"/>
      <c r="M281" s="165" t="n"/>
    </row>
    <row r="282" ht="14.25" customHeight="1" s="113">
      <c r="A282" s="115" t="inlineStr">
        <is>
          <t>CC</t>
        </is>
      </c>
      <c r="B282" s="115" t="inlineStr">
        <is>
          <t>Cal</t>
        </is>
      </c>
      <c r="C282" s="116" t="n"/>
      <c r="D282" s="142" t="n"/>
      <c r="E282" s="115" t="inlineStr">
        <is>
          <t>8P7404</t>
        </is>
      </c>
      <c r="F282" s="118" t="n"/>
      <c r="G282" s="115" t="inlineStr">
        <is>
          <t>TDM Multiconstituent Calibrator Kit (Alinity c)</t>
        </is>
      </c>
      <c r="H282" s="115" t="inlineStr">
        <is>
          <t>6 liv x(1x3 mL)</t>
        </is>
      </c>
      <c r="I282" s="115" t="n"/>
      <c r="J282" s="115" t="n"/>
      <c r="K282" s="115" t="n"/>
      <c r="L282" s="142" t="n"/>
      <c r="M282" s="165" t="n"/>
    </row>
    <row r="283" ht="14.25" customHeight="1" s="113">
      <c r="A283" s="115" t="inlineStr">
        <is>
          <t>CC</t>
        </is>
      </c>
      <c r="B283" s="115" t="inlineStr">
        <is>
          <t>Cal</t>
        </is>
      </c>
      <c r="C283" s="116" t="n"/>
      <c r="D283" s="142" t="n"/>
      <c r="E283" s="115" t="inlineStr">
        <is>
          <t>8P5701</t>
        </is>
      </c>
      <c r="F283" s="118" t="n"/>
      <c r="G283" s="115" t="inlineStr">
        <is>
          <t>Total Bile Acids Calibrator Kit (Alinity c)</t>
        </is>
      </c>
      <c r="H283" s="115" t="inlineStr">
        <is>
          <t>1 liv x5x2,9 mL</t>
        </is>
      </c>
      <c r="I283" s="115" t="n"/>
      <c r="J283" s="115" t="n"/>
      <c r="K283" s="115" t="n"/>
      <c r="L283" s="142" t="n"/>
      <c r="M283" s="165" t="n"/>
    </row>
    <row r="284" ht="14.25" customHeight="1" s="113">
      <c r="A284" s="115" t="inlineStr">
        <is>
          <t>CC</t>
        </is>
      </c>
      <c r="B284" s="115" t="inlineStr">
        <is>
          <t>Cal</t>
        </is>
      </c>
      <c r="C284" s="116" t="n"/>
      <c r="D284" s="142" t="n"/>
      <c r="E284" s="115" t="inlineStr">
        <is>
          <t>8P7101</t>
        </is>
      </c>
      <c r="F284" s="118" t="n"/>
      <c r="G284" s="115" t="inlineStr">
        <is>
          <t>Urine/CSF Protein Calibrator Kit (Alinity c)</t>
        </is>
      </c>
      <c r="H284" s="115" t="inlineStr">
        <is>
          <t>5 liv x(1x3 mL)</t>
        </is>
      </c>
      <c r="I284" s="115" t="n"/>
      <c r="J284" s="115" t="n"/>
      <c r="K284" s="115" t="n"/>
      <c r="L284" s="142" t="n"/>
      <c r="M284" s="165" t="n"/>
    </row>
    <row r="285" ht="14.25" customHeight="1" s="113">
      <c r="A285" s="115" t="inlineStr">
        <is>
          <t>CC</t>
        </is>
      </c>
      <c r="B285" s="115" t="inlineStr">
        <is>
          <t>Cal</t>
        </is>
      </c>
      <c r="C285" s="116" t="n"/>
      <c r="D285" s="142" t="n"/>
      <c r="E285" s="115" t="inlineStr">
        <is>
          <t>9P5402</t>
        </is>
      </c>
      <c r="F285" s="118" t="n"/>
      <c r="G285" s="115" t="inlineStr">
        <is>
          <t>Cannabinoids Calibrator Semiq 1 (Alinity c)</t>
        </is>
      </c>
      <c r="H285" s="115" t="inlineStr">
        <is>
          <t>3x1x3,0 mL</t>
        </is>
      </c>
      <c r="I285" s="115" t="n"/>
      <c r="J285" s="115" t="n"/>
      <c r="K285" s="115" t="n"/>
      <c r="L285" s="142" t="n"/>
      <c r="M285" s="165" t="n"/>
    </row>
    <row r="286" ht="14.25" customHeight="1" s="113">
      <c r="A286" s="115" t="inlineStr">
        <is>
          <t>CC</t>
        </is>
      </c>
      <c r="B286" s="115" t="inlineStr">
        <is>
          <t>Cal</t>
        </is>
      </c>
      <c r="C286" s="116" t="n"/>
      <c r="D286" s="142" t="n"/>
      <c r="E286" s="115" t="inlineStr">
        <is>
          <t>8P6302</t>
        </is>
      </c>
      <c r="F286" s="118" t="n"/>
      <c r="G286" s="115" t="inlineStr">
        <is>
          <t>DOA MC Qual Calibrator 2 Kit (Alinity c)</t>
        </is>
      </c>
      <c r="H286" s="115" t="inlineStr">
        <is>
          <t>1 liv x(1x2,9 mL)</t>
        </is>
      </c>
      <c r="I286" s="115" t="n"/>
      <c r="J286" s="115" t="n"/>
      <c r="K286" s="115" t="n"/>
      <c r="L286" s="142" t="n"/>
      <c r="M286" s="165" t="n"/>
    </row>
    <row r="287" ht="14.25" customHeight="1" s="113">
      <c r="A287" s="115" t="inlineStr">
        <is>
          <t>CC</t>
        </is>
      </c>
      <c r="B287" s="115" t="inlineStr">
        <is>
          <t>Cal</t>
        </is>
      </c>
      <c r="C287" s="116" t="n"/>
      <c r="D287" s="142" t="n"/>
      <c r="E287" s="115" t="inlineStr">
        <is>
          <t>8P6303</t>
        </is>
      </c>
      <c r="F287" s="118" t="n"/>
      <c r="G287" s="115" t="inlineStr">
        <is>
          <t>DOA MC Semiquant Calibrator Kit (Alinity c)</t>
        </is>
      </c>
      <c r="H287" s="115" t="inlineStr">
        <is>
          <t>4 liv x(1x2,9 mL)</t>
        </is>
      </c>
      <c r="I287" s="115" t="n"/>
      <c r="J287" s="115" t="n"/>
      <c r="K287" s="115" t="n"/>
      <c r="L287" s="142" t="n"/>
      <c r="M287" s="165" t="n"/>
    </row>
    <row r="288" ht="14.25" customHeight="1" s="113">
      <c r="A288" s="115" t="inlineStr">
        <is>
          <t>CC</t>
        </is>
      </c>
      <c r="B288" s="115" t="inlineStr">
        <is>
          <t>Cal</t>
        </is>
      </c>
      <c r="C288" s="116" t="n"/>
      <c r="D288" s="142" t="n"/>
      <c r="E288" s="115" t="inlineStr">
        <is>
          <t>8P6306</t>
        </is>
      </c>
      <c r="F288" s="118" t="n"/>
      <c r="G288" s="115" t="inlineStr">
        <is>
          <t>DOA MC Negative Calibrator Kit (Alinity c)</t>
        </is>
      </c>
      <c r="H288" s="115" t="inlineStr">
        <is>
          <t>1 liv x(6x3 mL)</t>
        </is>
      </c>
      <c r="I288" s="115" t="n"/>
      <c r="J288" s="115" t="n"/>
      <c r="K288" s="115" t="n"/>
      <c r="L288" s="142" t="n"/>
      <c r="M288" s="165" t="n"/>
    </row>
    <row r="289" ht="14.25" customHeight="1" s="113">
      <c r="A289" s="115" t="inlineStr">
        <is>
          <t>CC</t>
        </is>
      </c>
      <c r="B289" s="115" t="inlineStr">
        <is>
          <t>Cal</t>
        </is>
      </c>
      <c r="C289" s="116" t="n"/>
      <c r="D289" s="142" t="n"/>
      <c r="E289" s="115" t="inlineStr">
        <is>
          <t>9P5802</t>
        </is>
      </c>
      <c r="F289" s="118" t="n"/>
      <c r="G289" s="115" t="inlineStr">
        <is>
          <t>Ecstasy Semiquant Calibrator Kit (Alinity c)</t>
        </is>
      </c>
      <c r="H289" s="115" t="inlineStr">
        <is>
          <t>4 liv x(1x3 mL)</t>
        </is>
      </c>
      <c r="I289" s="115" t="n"/>
      <c r="J289" s="115" t="n"/>
      <c r="K289" s="115" t="n"/>
      <c r="L289" s="142" t="n"/>
      <c r="M289" s="165" t="n"/>
    </row>
    <row r="290" ht="14.25" customHeight="1" s="113">
      <c r="A290" s="115" t="inlineStr">
        <is>
          <t>CC</t>
        </is>
      </c>
      <c r="B290" s="115" t="inlineStr">
        <is>
          <t>Cal</t>
        </is>
      </c>
      <c r="C290" s="116" t="n"/>
      <c r="D290" s="142" t="n"/>
      <c r="E290" s="115" t="inlineStr">
        <is>
          <t>9P6502</t>
        </is>
      </c>
      <c r="F290" s="118" t="n"/>
      <c r="G290" s="115" t="inlineStr">
        <is>
          <t>Opiates Semiquant Calibrator Kit (Alinity c)</t>
        </is>
      </c>
      <c r="H290" s="115" t="inlineStr">
        <is>
          <t>4 liv x(1x3 mL)</t>
        </is>
      </c>
      <c r="I290" s="115" t="n"/>
      <c r="J290" s="115" t="n"/>
      <c r="K290" s="115" t="n"/>
      <c r="L290" s="142" t="n"/>
      <c r="M290" s="165" t="n"/>
    </row>
    <row r="291" ht="14.25" customHeight="1" s="113">
      <c r="A291" s="115" t="inlineStr">
        <is>
          <t>CC</t>
        </is>
      </c>
      <c r="B291" s="115" t="inlineStr">
        <is>
          <t>Cal</t>
        </is>
      </c>
      <c r="C291" s="116" t="n"/>
      <c r="D291" s="142" t="n"/>
      <c r="E291" s="115" t="inlineStr">
        <is>
          <t>0L10701</t>
        </is>
      </c>
      <c r="F291" s="118" t="n"/>
      <c r="G291" s="115" t="inlineStr">
        <is>
          <t>Cu-Zn Calibrator (SGM )</t>
        </is>
      </c>
      <c r="H291" s="115" t="inlineStr">
        <is>
          <t>1 liv x4x5 mL</t>
        </is>
      </c>
      <c r="I291" s="115" t="n"/>
      <c r="J291" s="115" t="n"/>
      <c r="K291" s="115" t="n"/>
      <c r="L291" s="142" t="n"/>
      <c r="M291" s="165" t="n"/>
    </row>
    <row r="292" ht="14.25" customHeight="1" s="113">
      <c r="A292" s="115" t="inlineStr">
        <is>
          <t>CC</t>
        </is>
      </c>
      <c r="B292" s="115" t="inlineStr">
        <is>
          <t>Cal</t>
        </is>
      </c>
      <c r="C292" s="116" t="n"/>
      <c r="D292" s="142" t="n"/>
      <c r="E292" s="115" t="inlineStr">
        <is>
          <t>0LA20380</t>
        </is>
      </c>
      <c r="F292" s="118" t="n"/>
      <c r="G292" s="115" t="inlineStr">
        <is>
          <t>Cystatin C Calibrator (SGM)</t>
        </is>
      </c>
      <c r="H292" s="115" t="inlineStr">
        <is>
          <t>1 liv x5x1 mL</t>
        </is>
      </c>
      <c r="I292" s="115" t="n"/>
      <c r="J292" s="115" t="n"/>
      <c r="K292" s="115" t="n"/>
      <c r="L292" s="142" t="n"/>
      <c r="M292" s="165" t="n"/>
    </row>
    <row r="293" ht="14.25" customHeight="1" s="113">
      <c r="A293" s="115" t="inlineStr">
        <is>
          <t>CC</t>
        </is>
      </c>
      <c r="B293" s="115" t="inlineStr">
        <is>
          <t>Cal</t>
        </is>
      </c>
      <c r="C293" s="116" t="n"/>
      <c r="D293" s="142" t="n"/>
      <c r="E293" s="115" t="inlineStr">
        <is>
          <t>0LT020</t>
        </is>
      </c>
      <c r="F293" s="118" t="n"/>
      <c r="G293" s="115" t="inlineStr">
        <is>
          <t>suPar Calibrator (BSN)</t>
        </is>
      </c>
      <c r="H293" s="115" t="inlineStr">
        <is>
          <t>6x1 mL</t>
        </is>
      </c>
      <c r="I293" s="115" t="n"/>
      <c r="J293" s="115" t="n"/>
      <c r="K293" s="115" t="n"/>
      <c r="L293" s="142" t="n"/>
      <c r="M293" s="165" t="n"/>
    </row>
    <row r="294" ht="14.25" customHeight="1" s="113">
      <c r="A294" s="115" t="inlineStr">
        <is>
          <t>?</t>
        </is>
      </c>
      <c r="B294" s="115" t="inlineStr">
        <is>
          <t>Cons</t>
        </is>
      </c>
      <c r="C294" s="116" t="n"/>
      <c r="D294" s="142" t="n"/>
      <c r="E294" s="115" t="inlineStr">
        <is>
          <t>0LH0030123344</t>
        </is>
      </c>
      <c r="F294" s="118" t="n"/>
      <c r="G294" s="115" t="inlineStr">
        <is>
          <t>Cuvette per centrifuga 2,0 mL</t>
        </is>
      </c>
      <c r="H294" s="115" t="inlineStr">
        <is>
          <t>1000 pz.</t>
        </is>
      </c>
      <c r="I294" s="115" t="n"/>
      <c r="J294" s="115" t="n"/>
      <c r="K294" s="115" t="n"/>
      <c r="L294" s="142" t="n"/>
      <c r="M294" s="165" t="n"/>
    </row>
    <row r="295" ht="14.25" customHeight="1" s="113">
      <c r="A295" s="115" t="inlineStr">
        <is>
          <t>CC</t>
        </is>
      </c>
      <c r="B295" s="115" t="inlineStr">
        <is>
          <t>Cons</t>
        </is>
      </c>
      <c r="C295" s="116" t="n"/>
      <c r="D295" s="142" t="n"/>
      <c r="E295" s="115" t="inlineStr">
        <is>
          <t>0LCAN068</t>
        </is>
      </c>
      <c r="F295" s="118" t="n"/>
      <c r="G295" s="115" t="inlineStr">
        <is>
          <t>Alinity c Etichette Reagenti Chimica Terze Parti (0LCAN068)</t>
        </is>
      </c>
      <c r="H295" s="115" t="inlineStr">
        <is>
          <t>480 etichette</t>
        </is>
      </c>
      <c r="I295" s="115" t="n"/>
      <c r="J295" s="115" t="n"/>
      <c r="K295" s="115" t="n"/>
      <c r="L295" s="142" t="n"/>
      <c r="M295" s="165" t="n"/>
    </row>
    <row r="296" ht="14.25" customHeight="1" s="113">
      <c r="A296" s="166" t="inlineStr">
        <is>
          <t>GLP</t>
        </is>
      </c>
      <c r="B296" s="166" t="inlineStr">
        <is>
          <t>GLP</t>
        </is>
      </c>
      <c r="C296" s="167" t="n"/>
      <c r="D296" s="168" t="n"/>
      <c r="E296" s="166" t="inlineStr">
        <is>
          <t>6Q0801</t>
        </is>
      </c>
      <c r="F296" s="169" t="n"/>
      <c r="G296" s="166" t="inlineStr">
        <is>
          <t>Sacche monouso per stappatore (confezione contenente 350 pezzi) 100%</t>
        </is>
      </c>
      <c r="H296" s="115" t="inlineStr">
        <is>
          <t>350 pz.</t>
        </is>
      </c>
      <c r="I296" s="115" t="n"/>
      <c r="J296" s="115" t="n"/>
      <c r="K296" s="115" t="n"/>
      <c r="L296" s="142" t="n"/>
      <c r="M296" s="165" t="n"/>
    </row>
    <row r="297" ht="14.25" customHeight="1" s="113">
      <c r="A297" s="166" t="inlineStr">
        <is>
          <t>GLP</t>
        </is>
      </c>
      <c r="B297" s="166" t="inlineStr">
        <is>
          <t>GLP</t>
        </is>
      </c>
      <c r="C297" s="167" t="n"/>
      <c r="D297" s="168" t="n"/>
      <c r="E297" s="166" t="inlineStr">
        <is>
          <t>6Q1001</t>
        </is>
      </c>
      <c r="F297" s="169" t="n"/>
      <c r="G297" s="166" t="inlineStr">
        <is>
          <t>Tappi di chiusura S</t>
        </is>
      </c>
      <c r="H297" s="115" t="inlineStr">
        <is>
          <t>3000 (4x750) pz.</t>
        </is>
      </c>
      <c r="I297" s="115" t="n"/>
      <c r="J297" s="115" t="n"/>
      <c r="K297" s="115" t="n"/>
      <c r="L297" s="142" t="n"/>
      <c r="M297" s="165" t="n"/>
    </row>
    <row r="298" ht="14.25" customHeight="1" s="113">
      <c r="A298" s="166" t="inlineStr">
        <is>
          <t>GLP</t>
        </is>
      </c>
      <c r="B298" s="166" t="inlineStr">
        <is>
          <t>GLP</t>
        </is>
      </c>
      <c r="C298" s="167" t="n"/>
      <c r="D298" s="168" t="n"/>
      <c r="E298" s="166" t="inlineStr">
        <is>
          <t>6Q1011</t>
        </is>
      </c>
      <c r="F298" s="169" t="n"/>
      <c r="G298" s="166" t="inlineStr">
        <is>
          <t>Tappi di chiusura L</t>
        </is>
      </c>
      <c r="H298" s="115" t="inlineStr">
        <is>
          <t>3000 (4x750) pz.</t>
        </is>
      </c>
      <c r="I298" s="115" t="n"/>
      <c r="J298" s="115" t="n"/>
      <c r="K298" s="115" t="n"/>
      <c r="L298" s="142" t="n"/>
      <c r="M298" s="165" t="n"/>
    </row>
    <row r="299" ht="14.25" customHeight="1" s="113">
      <c r="A299" s="166" t="inlineStr">
        <is>
          <t>GLP</t>
        </is>
      </c>
      <c r="B299" s="166" t="inlineStr">
        <is>
          <t>GLP</t>
        </is>
      </c>
      <c r="C299" s="167" t="n"/>
      <c r="D299" s="168" t="n"/>
      <c r="E299" s="166" t="inlineStr">
        <is>
          <t>6Q13-01/51</t>
        </is>
      </c>
      <c r="F299" s="169" t="n"/>
      <c r="G299" s="166" t="inlineStr">
        <is>
          <t>Puntali per aliquotatore (confezione contenente 3.840 pezzi)</t>
        </is>
      </c>
      <c r="H299" s="115" t="inlineStr">
        <is>
          <t>3840 pz.</t>
        </is>
      </c>
      <c r="I299" s="115" t="n"/>
      <c r="J299" s="115" t="n"/>
      <c r="K299" s="115" t="n"/>
      <c r="L299" s="142" t="n"/>
      <c r="M299" s="165" t="n">
        <v>6</v>
      </c>
    </row>
    <row r="300" ht="14.25" customHeight="1" s="113">
      <c r="A300" s="166" t="inlineStr">
        <is>
          <t>GLP</t>
        </is>
      </c>
      <c r="B300" s="166" t="inlineStr">
        <is>
          <t>GLP</t>
        </is>
      </c>
      <c r="C300" s="167" t="n"/>
      <c r="D300" s="168" t="n"/>
      <c r="E300" s="166" t="inlineStr">
        <is>
          <t>6Q1402</t>
        </is>
      </c>
      <c r="F300" s="169" t="n"/>
      <c r="G300" s="166" t="inlineStr">
        <is>
          <t>Provette secondarie con tappo a pressione 13 x 75 mm (conf. 1.500 pezzi)</t>
        </is>
      </c>
      <c r="H300" s="115" t="inlineStr">
        <is>
          <t>1500 pz.</t>
        </is>
      </c>
      <c r="I300" s="115" t="n"/>
      <c r="J300" s="115" t="n"/>
      <c r="K300" s="115" t="n"/>
      <c r="L300" s="142" t="n"/>
      <c r="M300" s="165" t="n"/>
    </row>
    <row r="301" ht="14.25" customHeight="1" s="113">
      <c r="A301" s="166" t="inlineStr">
        <is>
          <t>GLP</t>
        </is>
      </c>
      <c r="B301" s="166" t="inlineStr">
        <is>
          <t>GLP</t>
        </is>
      </c>
      <c r="C301" s="167" t="n"/>
      <c r="D301" s="168" t="n"/>
      <c r="E301" s="166" t="inlineStr">
        <is>
          <t>6Q1601</t>
        </is>
      </c>
      <c r="F301" s="169" t="n"/>
      <c r="G301" s="166" t="inlineStr">
        <is>
          <t>Etichette termotrasferibili per aliquote (2 rotoli da 5.000 etichette ciasc)</t>
        </is>
      </c>
      <c r="H301" s="115" t="inlineStr">
        <is>
          <t>2x5000 etichette</t>
        </is>
      </c>
      <c r="I301" s="115" t="n"/>
      <c r="J301" s="115" t="n"/>
      <c r="K301" s="115" t="n"/>
      <c r="L301" s="142" t="n"/>
      <c r="M301" s="165" t="n">
        <v>5</v>
      </c>
    </row>
    <row r="302" ht="14.25" customHeight="1" s="113">
      <c r="A302" s="166" t="inlineStr">
        <is>
          <t>GLP</t>
        </is>
      </c>
      <c r="B302" s="166" t="inlineStr">
        <is>
          <t>GLP</t>
        </is>
      </c>
      <c r="C302" s="167" t="n"/>
      <c r="D302" s="168" t="n"/>
      <c r="E302" s="166" t="inlineStr">
        <is>
          <t>6Q1701</t>
        </is>
      </c>
      <c r="F302" s="169" t="n"/>
      <c r="G302" s="166" t="inlineStr">
        <is>
          <t>Sacche monouso per aliquotatore (confezione contenente 500 pezzi)</t>
        </is>
      </c>
      <c r="H302" s="115" t="inlineStr">
        <is>
          <t>500 pz.</t>
        </is>
      </c>
      <c r="I302" s="115" t="n"/>
      <c r="J302" s="115" t="n"/>
      <c r="K302" s="115" t="n"/>
      <c r="L302" s="142" t="n"/>
      <c r="M302" s="165" t="n"/>
    </row>
    <row r="303" ht="14.25" customHeight="1" s="113">
      <c r="A303" s="166" t="inlineStr">
        <is>
          <t>GLP</t>
        </is>
      </c>
      <c r="B303" s="166" t="inlineStr">
        <is>
          <t>GLP</t>
        </is>
      </c>
      <c r="C303" s="167" t="n"/>
      <c r="D303" s="168" t="n"/>
      <c r="E303" s="166" t="inlineStr">
        <is>
          <t>6Q4701</t>
        </is>
      </c>
      <c r="F303" s="169" t="n"/>
      <c r="G303" s="166" t="inlineStr">
        <is>
          <t>Drip Pan (40 pcs)</t>
        </is>
      </c>
      <c r="H303" s="115" t="inlineStr">
        <is>
          <t>40 pz.</t>
        </is>
      </c>
      <c r="I303" s="115" t="n"/>
      <c r="J303" s="115" t="n"/>
      <c r="K303" s="115" t="n"/>
      <c r="L303" s="142" t="n"/>
      <c r="M303" s="165" t="n"/>
    </row>
    <row r="304" ht="14.25" customHeight="1" s="113">
      <c r="A304" s="166" t="inlineStr">
        <is>
          <t>GLP</t>
        </is>
      </c>
      <c r="B304" s="166" t="inlineStr">
        <is>
          <t>GLP</t>
        </is>
      </c>
      <c r="C304" s="167" t="n"/>
      <c r="D304" s="168" t="n"/>
      <c r="E304" s="166" t="inlineStr">
        <is>
          <t>4Z9801</t>
        </is>
      </c>
      <c r="F304" s="169" t="n"/>
      <c r="G304" s="166" t="inlineStr">
        <is>
          <t>GLP FlexRacks</t>
        </is>
      </c>
      <c r="H304" s="115" t="inlineStr">
        <is>
          <t>24 pz.</t>
        </is>
      </c>
      <c r="I304" s="115" t="n"/>
      <c r="J304" s="115" t="n"/>
      <c r="K304" s="115" t="n"/>
      <c r="L304" s="142" t="n"/>
      <c r="M304" s="165" t="n"/>
    </row>
    <row r="305" ht="14.25" customHeight="1" s="113">
      <c r="A305" s="166" t="inlineStr">
        <is>
          <t>GLP</t>
        </is>
      </c>
      <c r="B305" s="166" t="inlineStr">
        <is>
          <t>GLP</t>
        </is>
      </c>
      <c r="C305" s="167" t="n"/>
      <c r="D305" s="168" t="n"/>
      <c r="E305" s="166" t="inlineStr">
        <is>
          <t>6R3411</t>
        </is>
      </c>
      <c r="F305" s="169" t="n"/>
      <c r="G305" s="166" t="inlineStr">
        <is>
          <t>Chargelane Slave</t>
        </is>
      </c>
      <c r="H305" s="115" t="inlineStr">
        <is>
          <t>1 pz.</t>
        </is>
      </c>
      <c r="I305" s="115" t="n"/>
      <c r="J305" s="115" t="n"/>
      <c r="K305" s="115" t="n"/>
      <c r="L305" s="142" t="n"/>
      <c r="M305" s="165" t="n"/>
    </row>
    <row r="306" ht="14.25" customHeight="1" s="113">
      <c r="A306" s="166" t="inlineStr">
        <is>
          <t>GLP</t>
        </is>
      </c>
      <c r="B306" s="166" t="inlineStr">
        <is>
          <t>GLP</t>
        </is>
      </c>
      <c r="C306" s="167" t="n"/>
      <c r="D306" s="168" t="n"/>
      <c r="E306" s="166" t="inlineStr">
        <is>
          <t>6R3401</t>
        </is>
      </c>
      <c r="F306" s="169" t="n"/>
      <c r="G306" s="166" t="inlineStr">
        <is>
          <t>Chargelane Master</t>
        </is>
      </c>
      <c r="H306" s="115" t="inlineStr">
        <is>
          <t>1 pz.</t>
        </is>
      </c>
      <c r="I306" s="115" t="n"/>
      <c r="J306" s="115" t="n"/>
      <c r="K306" s="115" t="n"/>
      <c r="L306" s="142" t="n"/>
      <c r="M306" s="165" t="n"/>
    </row>
    <row r="307" ht="14.25" customHeight="1" s="113">
      <c r="A307" s="166" t="inlineStr">
        <is>
          <t>GLP</t>
        </is>
      </c>
      <c r="B307" s="166" t="inlineStr">
        <is>
          <t>GLP</t>
        </is>
      </c>
      <c r="C307" s="167" t="n"/>
      <c r="D307" s="168" t="n"/>
      <c r="E307" s="166" t="inlineStr">
        <is>
          <t>4Z9561</t>
        </is>
      </c>
      <c r="F307" s="169" t="n"/>
      <c r="G307" s="166" t="inlineStr">
        <is>
          <t>Box 12 CARs</t>
        </is>
      </c>
      <c r="H307" s="115" t="inlineStr">
        <is>
          <t>12 pz.</t>
        </is>
      </c>
      <c r="I307" s="115" t="n"/>
      <c r="J307" s="115" t="n"/>
      <c r="K307" s="115" t="n"/>
      <c r="L307" s="142" t="n"/>
      <c r="M307" s="165" t="n"/>
    </row>
    <row r="308" ht="14.25" customHeight="1" s="113">
      <c r="A308" s="166" t="inlineStr">
        <is>
          <t>GLP</t>
        </is>
      </c>
      <c r="B308" s="166" t="inlineStr">
        <is>
          <t>GLP</t>
        </is>
      </c>
      <c r="C308" s="167" t="n"/>
      <c r="D308" s="168" t="n"/>
      <c r="E308" s="166" t="inlineStr">
        <is>
          <t>6R9201</t>
        </is>
      </c>
      <c r="F308" s="169" t="n"/>
      <c r="G308" s="166" t="inlineStr">
        <is>
          <t>CAR Useal</t>
        </is>
      </c>
      <c r="H308" s="115" t="inlineStr">
        <is>
          <t>1 pz.</t>
        </is>
      </c>
      <c r="I308" s="115" t="n"/>
      <c r="J308" s="115" t="n"/>
      <c r="K308" s="115" t="n"/>
      <c r="L308" s="142" t="n"/>
      <c r="M308" s="165" t="n"/>
    </row>
    <row r="309" ht="14.25" customHeight="1" s="113">
      <c r="A309" s="166" t="inlineStr">
        <is>
          <t>GLP</t>
        </is>
      </c>
      <c r="B309" s="166" t="inlineStr">
        <is>
          <t>GLP</t>
        </is>
      </c>
      <c r="C309" s="167" t="n"/>
      <c r="D309" s="168" t="n"/>
      <c r="E309" s="166" t="inlineStr">
        <is>
          <t>6S6601</t>
        </is>
      </c>
      <c r="F309" s="169" t="n"/>
      <c r="G309" s="166" t="inlineStr">
        <is>
          <t>Finger kit</t>
        </is>
      </c>
      <c r="H309" s="115" t="inlineStr">
        <is>
          <t>1 pz.</t>
        </is>
      </c>
      <c r="I309" s="115" t="n"/>
      <c r="J309" s="115" t="n"/>
      <c r="K309" s="115" t="n"/>
      <c r="L309" s="142" t="n"/>
      <c r="M309" s="165" t="n"/>
    </row>
    <row r="310" ht="14.25" customHeight="1" s="113">
      <c r="A310" s="166" t="inlineStr">
        <is>
          <t>GLP</t>
        </is>
      </c>
      <c r="B310" s="166" t="inlineStr">
        <is>
          <t>GLP</t>
        </is>
      </c>
      <c r="C310" s="167" t="n"/>
      <c r="D310" s="168" t="n"/>
      <c r="E310" s="166" t="inlineStr">
        <is>
          <t>6T2201</t>
        </is>
      </c>
      <c r="F310" s="169" t="n"/>
      <c r="G310" s="166" t="inlineStr">
        <is>
          <t>Container click-lid</t>
        </is>
      </c>
      <c r="H310" s="115" t="inlineStr">
        <is>
          <t>9 pz.</t>
        </is>
      </c>
      <c r="I310" s="115" t="n"/>
      <c r="J310" s="115" t="n"/>
      <c r="K310" s="115" t="n"/>
      <c r="L310" s="142" t="n"/>
      <c r="M310" s="165" t="n"/>
    </row>
    <row r="311" ht="14.25" customHeight="1" s="113">
      <c r="A311" s="166" t="inlineStr">
        <is>
          <t>GLP</t>
        </is>
      </c>
      <c r="B311" s="166" t="inlineStr">
        <is>
          <t>GLP</t>
        </is>
      </c>
      <c r="C311" s="167" t="n"/>
      <c r="D311" s="168" t="n"/>
      <c r="E311" s="166" t="inlineStr">
        <is>
          <t>6T2101</t>
        </is>
      </c>
      <c r="F311" s="169" t="n"/>
      <c r="G311" s="166" t="inlineStr">
        <is>
          <t>Contenitore Storage 30L</t>
        </is>
      </c>
      <c r="H311" s="115" t="inlineStr">
        <is>
          <t>9 pz.</t>
        </is>
      </c>
      <c r="I311" s="115" t="n"/>
      <c r="J311" s="115" t="n"/>
      <c r="K311" s="115" t="n"/>
      <c r="L311" s="142" t="n"/>
      <c r="M311" s="165" t="n"/>
    </row>
    <row r="312" ht="14.25" customHeight="1" s="113">
      <c r="A312" s="166" t="inlineStr">
        <is>
          <t>GLP</t>
        </is>
      </c>
      <c r="B312" s="166" t="inlineStr">
        <is>
          <t>GLP</t>
        </is>
      </c>
      <c r="C312" s="167" t="n"/>
      <c r="D312" s="168" t="n"/>
      <c r="E312" s="166" t="inlineStr">
        <is>
          <t>6T2402</t>
        </is>
      </c>
      <c r="F312" s="169" t="n"/>
      <c r="G312" s="166" t="inlineStr">
        <is>
          <t>Disposal Tubing</t>
        </is>
      </c>
      <c r="H312" s="115" t="inlineStr">
        <is>
          <t>1 pz</t>
        </is>
      </c>
      <c r="I312" s="115" t="n"/>
      <c r="J312" s="115" t="n"/>
      <c r="K312" s="115" t="n"/>
      <c r="L312" s="142" t="n"/>
      <c r="M312" s="165" t="n"/>
    </row>
    <row r="313" ht="14.25" customHeight="1" s="113">
      <c r="A313" s="115" t="inlineStr">
        <is>
          <t>CONS</t>
        </is>
      </c>
      <c r="B313" s="115" t="inlineStr">
        <is>
          <t>Zebra Technol</t>
        </is>
      </c>
      <c r="C313" s="116" t="n"/>
      <c r="D313" s="142" t="n"/>
      <c r="E313" s="115" t="inlineStr">
        <is>
          <t>0L880199025D</t>
        </is>
      </c>
      <c r="F313" s="118" t="n"/>
      <c r="G313" s="115" t="inlineStr">
        <is>
          <t>Etichette Zebrabar 25x51 mm</t>
        </is>
      </c>
      <c r="H313" s="115" t="inlineStr">
        <is>
          <t>2580 etichette x 12 rotoli</t>
        </is>
      </c>
      <c r="I313" s="115" t="n"/>
      <c r="J313" s="115" t="n"/>
      <c r="K313" s="115" t="n"/>
      <c r="L313" s="142" t="n"/>
      <c r="M313" s="165" t="n"/>
    </row>
    <row r="314" ht="14.25" customHeight="1" s="113">
      <c r="A314" s="115" t="inlineStr">
        <is>
          <t>CONS</t>
        </is>
      </c>
      <c r="B314" s="115" t="inlineStr">
        <is>
          <t>HP</t>
        </is>
      </c>
      <c r="C314" s="116" t="n"/>
      <c r="D314" s="142" t="n"/>
      <c r="E314" s="115" t="inlineStr">
        <is>
          <t>0LCF294A</t>
        </is>
      </c>
      <c r="F314" s="118" t="n"/>
      <c r="G314" s="115" t="inlineStr">
        <is>
          <t>Toner HP Laserjet pro M118DW</t>
        </is>
      </c>
      <c r="H314" s="115" t="inlineStr">
        <is>
          <t>1 pz.</t>
        </is>
      </c>
      <c r="I314" s="115" t="n"/>
      <c r="J314" s="115" t="n"/>
      <c r="K314" s="115" t="n"/>
      <c r="L314" s="142" t="n"/>
      <c r="M314" s="165" t="n"/>
    </row>
    <row r="315" ht="14.25" customHeight="1" s="113">
      <c r="A315" s="115" t="inlineStr">
        <is>
          <t>CONS</t>
        </is>
      </c>
      <c r="B315" s="115" t="inlineStr">
        <is>
          <t>LEXMARK</t>
        </is>
      </c>
      <c r="C315" s="116" t="n"/>
      <c r="D315" s="142" t="n"/>
      <c r="E315" s="115" t="inlineStr">
        <is>
          <t>0L56F0Z00</t>
        </is>
      </c>
      <c r="F315" s="118" t="n"/>
      <c r="G315" s="115" t="inlineStr">
        <is>
          <t>TAMBURO LEXMARK MS 521</t>
        </is>
      </c>
      <c r="H315" s="115" t="inlineStr">
        <is>
          <t>1 pz.</t>
        </is>
      </c>
      <c r="I315" s="115" t="n"/>
      <c r="J315" s="115" t="n"/>
      <c r="K315" s="115" t="n"/>
      <c r="L315" s="142" t="n"/>
      <c r="M315" s="165" t="n"/>
    </row>
    <row r="316" ht="14.25" customHeight="1" s="113">
      <c r="A316" s="115" t="inlineStr">
        <is>
          <t>CONS</t>
        </is>
      </c>
      <c r="B316" s="115" t="inlineStr">
        <is>
          <t>LEXMARK</t>
        </is>
      </c>
      <c r="C316" s="116" t="n"/>
      <c r="D316" s="142" t="n"/>
      <c r="E316" s="115" t="inlineStr">
        <is>
          <t>0L56F2000</t>
        </is>
      </c>
      <c r="F316" s="118" t="n"/>
      <c r="G316" s="115" t="inlineStr">
        <is>
          <t>Toner lexmark MS 521DN</t>
        </is>
      </c>
      <c r="H316" s="115" t="inlineStr">
        <is>
          <t>1 pz.</t>
        </is>
      </c>
      <c r="I316" s="115" t="n"/>
      <c r="J316" s="115" t="n"/>
      <c r="K316" s="115" t="n"/>
      <c r="L316" s="142" t="n"/>
      <c r="M316" s="165" t="n"/>
    </row>
    <row r="317" ht="14.25" customHeight="1" s="113">
      <c r="A317" s="115" t="inlineStr">
        <is>
          <t>CONS</t>
        </is>
      </c>
      <c r="B317" s="115" t="inlineStr">
        <is>
          <t>Fedrigoni</t>
        </is>
      </c>
      <c r="C317" s="116" t="n"/>
      <c r="D317" s="142" t="n"/>
      <c r="E317" s="115" t="inlineStr">
        <is>
          <t>0A4500</t>
        </is>
      </c>
      <c r="F317" s="118" t="n"/>
      <c r="G317" s="115" t="inlineStr">
        <is>
          <t>Carta</t>
        </is>
      </c>
      <c r="H317" s="115" t="inlineStr">
        <is>
          <t>500 fogli</t>
        </is>
      </c>
      <c r="I317" s="115" t="n"/>
      <c r="J317" s="115" t="n"/>
      <c r="K317" s="115" t="n"/>
      <c r="L317" s="142" t="n"/>
      <c r="M317" s="165" t="n"/>
    </row>
    <row r="318" ht="14.25" customHeight="1" s="113">
      <c r="A318" s="156" t="inlineStr">
        <is>
          <t>IA</t>
        </is>
      </c>
      <c r="B318" s="156" t="inlineStr">
        <is>
          <t>Cal Aus</t>
        </is>
      </c>
      <c r="C318" s="170" t="n"/>
      <c r="D318" s="156" t="n"/>
      <c r="E318" s="156" t="inlineStr">
        <is>
          <t>9P1901</t>
        </is>
      </c>
      <c r="F318" s="159" t="n"/>
      <c r="G318" s="156" t="inlineStr">
        <is>
          <t>Alinity i Chagas Calibratore</t>
        </is>
      </c>
      <c r="H318" s="156" t="inlineStr">
        <is>
          <t>1x3 mL</t>
        </is>
      </c>
      <c r="I318" s="156" t="n"/>
      <c r="J318" s="115" t="n"/>
      <c r="K318" s="156" t="n"/>
      <c r="L318" s="142" t="n"/>
      <c r="M318" s="165" t="n"/>
    </row>
    <row r="319" ht="14.25" customHeight="1" s="113">
      <c r="A319" s="156" t="inlineStr">
        <is>
          <t>IA</t>
        </is>
      </c>
      <c r="B319" s="156" t="inlineStr">
        <is>
          <t>Cal Aus</t>
        </is>
      </c>
      <c r="C319" s="170" t="n"/>
      <c r="D319" s="156" t="n"/>
      <c r="E319" s="156" t="inlineStr">
        <is>
          <t>9P4001</t>
        </is>
      </c>
      <c r="F319" s="159" t="n"/>
      <c r="G319" s="156" t="inlineStr">
        <is>
          <t>Alinity i Cyfra 21.1 Calibratori</t>
        </is>
      </c>
      <c r="H319" s="156" t="inlineStr">
        <is>
          <t>6x3 mL</t>
        </is>
      </c>
      <c r="I319" s="156" t="n"/>
      <c r="J319" s="115" t="n"/>
      <c r="K319" s="156" t="n"/>
      <c r="L319" s="142" t="n"/>
      <c r="M319" s="165" t="n"/>
    </row>
    <row r="320" ht="14.25" customHeight="1" s="113">
      <c r="A320" s="156" t="inlineStr">
        <is>
          <t>IA</t>
        </is>
      </c>
      <c r="B320" s="156" t="inlineStr">
        <is>
          <t>Cal Aus</t>
        </is>
      </c>
      <c r="C320" s="170" t="n"/>
      <c r="D320" s="156" t="n"/>
      <c r="E320" s="156" t="inlineStr">
        <is>
          <t>9P6001</t>
        </is>
      </c>
      <c r="F320" s="159" t="n"/>
      <c r="G320" s="156" t="inlineStr">
        <is>
          <t>Alinity i Galectina-3 Calibratore</t>
        </is>
      </c>
      <c r="H320" s="156" t="inlineStr">
        <is>
          <t>6x3 mL</t>
        </is>
      </c>
      <c r="I320" s="156" t="n"/>
      <c r="J320" s="115" t="n"/>
      <c r="K320" s="156" t="n"/>
      <c r="L320" s="142" t="n"/>
      <c r="M320" s="165" t="n"/>
    </row>
    <row r="321" ht="14.25" customHeight="1" s="113">
      <c r="A321" s="156" t="inlineStr">
        <is>
          <t>IA</t>
        </is>
      </c>
      <c r="B321" s="156" t="inlineStr">
        <is>
          <t>Cal Aus</t>
        </is>
      </c>
      <c r="C321" s="170" t="n"/>
      <c r="D321" s="156" t="n"/>
      <c r="E321" s="156" t="inlineStr">
        <is>
          <t>1R1901</t>
        </is>
      </c>
      <c r="F321" s="159" t="n"/>
      <c r="G321" s="156" t="inlineStr">
        <is>
          <t>Alinity i NSE Calibratori</t>
        </is>
      </c>
      <c r="H321" s="156" t="inlineStr">
        <is>
          <t>6 liv x 3 mL</t>
        </is>
      </c>
      <c r="I321" s="156" t="n"/>
      <c r="J321" s="115" t="n"/>
      <c r="K321" s="156" t="n"/>
      <c r="L321" s="142" t="n"/>
      <c r="M321" s="165" t="n"/>
    </row>
    <row r="322" ht="14.25" customHeight="1" s="113">
      <c r="A322" s="156" t="inlineStr">
        <is>
          <t>IA</t>
        </is>
      </c>
      <c r="B322" s="156" t="inlineStr">
        <is>
          <t>Cal Aus</t>
        </is>
      </c>
      <c r="C322" s="170" t="n"/>
      <c r="D322" s="156" t="n"/>
      <c r="E322" s="156" t="inlineStr">
        <is>
          <t>9P2401</t>
        </is>
      </c>
      <c r="F322" s="159" t="n"/>
      <c r="G322" s="156" t="inlineStr">
        <is>
          <t>Alinity i Pepsinogeno I Calibratori</t>
        </is>
      </c>
      <c r="H322" s="156" t="inlineStr">
        <is>
          <t>2 liv x 3 mL</t>
        </is>
      </c>
      <c r="I322" s="156" t="n"/>
      <c r="J322" s="115" t="n"/>
      <c r="K322" s="156" t="n"/>
      <c r="L322" s="142" t="n"/>
      <c r="M322" s="165" t="n"/>
    </row>
    <row r="323" ht="14.25" customHeight="1" s="113">
      <c r="A323" s="156" t="inlineStr">
        <is>
          <t>IA</t>
        </is>
      </c>
      <c r="B323" s="156" t="inlineStr">
        <is>
          <t>Cal Aus</t>
        </is>
      </c>
      <c r="C323" s="170" t="n"/>
      <c r="D323" s="156" t="n"/>
      <c r="E323" s="156" t="inlineStr">
        <is>
          <t>9P2501</t>
        </is>
      </c>
      <c r="F323" s="159" t="n"/>
      <c r="G323" s="156" t="inlineStr">
        <is>
          <t>Alinity i Pepsinogeno II Calibratori</t>
        </is>
      </c>
      <c r="H323" s="156" t="inlineStr">
        <is>
          <t>2 liv x 3 mL</t>
        </is>
      </c>
      <c r="I323" s="156" t="n"/>
      <c r="J323" s="115" t="n"/>
      <c r="K323" s="156" t="n"/>
      <c r="L323" s="142" t="n"/>
      <c r="M323" s="165" t="n"/>
    </row>
    <row r="324" ht="14.25" customHeight="1" s="113">
      <c r="A324" s="156" t="inlineStr">
        <is>
          <t>IA</t>
        </is>
      </c>
      <c r="B324" s="156" t="inlineStr">
        <is>
          <t>Cal Aus</t>
        </is>
      </c>
      <c r="C324" s="170" t="n"/>
      <c r="D324" s="156" t="n"/>
      <c r="E324" s="156" t="inlineStr">
        <is>
          <t>1R1701</t>
        </is>
      </c>
      <c r="F324" s="159" t="n"/>
      <c r="G324" s="156" t="inlineStr">
        <is>
          <t>Alinity i PIVKA  II Calibratori</t>
        </is>
      </c>
      <c r="H324" s="156" t="inlineStr">
        <is>
          <t>6x3 mL</t>
        </is>
      </c>
      <c r="I324" s="156" t="n"/>
      <c r="J324" s="115" t="n"/>
      <c r="K324" s="156" t="n"/>
      <c r="L324" s="142" t="n"/>
      <c r="M324" s="165" t="n"/>
    </row>
    <row r="325" ht="14.25" customHeight="1" s="113">
      <c r="A325" s="156" t="inlineStr">
        <is>
          <t>IA</t>
        </is>
      </c>
      <c r="B325" s="156" t="inlineStr">
        <is>
          <t>Cal Aus</t>
        </is>
      </c>
      <c r="C325" s="170" t="n"/>
      <c r="D325" s="156" t="n"/>
      <c r="E325" s="156" t="inlineStr">
        <is>
          <t>9P3201</t>
        </is>
      </c>
      <c r="F325" s="159" t="n"/>
      <c r="G325" s="156" t="inlineStr">
        <is>
          <t>Alinity i ProGRP Calibratori</t>
        </is>
      </c>
      <c r="H325" s="156" t="inlineStr">
        <is>
          <t>6x3 mL</t>
        </is>
      </c>
      <c r="I325" s="156" t="n"/>
      <c r="J325" s="115" t="n"/>
      <c r="K325" s="156" t="n"/>
      <c r="L325" s="142" t="n"/>
      <c r="M325" s="165" t="n"/>
    </row>
    <row r="326" ht="14.25" customHeight="1" s="113">
      <c r="A326" s="156" t="inlineStr">
        <is>
          <t>IA</t>
        </is>
      </c>
      <c r="B326" s="156" t="inlineStr">
        <is>
          <t>Cal Aus</t>
        </is>
      </c>
      <c r="C326" s="170" t="n"/>
      <c r="D326" s="156" t="n"/>
      <c r="E326" s="156" t="inlineStr">
        <is>
          <t>9P3301</t>
        </is>
      </c>
      <c r="F326" s="159" t="n"/>
      <c r="G326" s="156" t="inlineStr">
        <is>
          <t>Alinity i SCC Calibratore</t>
        </is>
      </c>
      <c r="H326" s="156" t="inlineStr">
        <is>
          <t>6 liv x 3 mL</t>
        </is>
      </c>
      <c r="I326" s="156" t="n"/>
      <c r="J326" s="115" t="n"/>
      <c r="K326" s="156" t="n"/>
      <c r="L326" s="142" t="n"/>
      <c r="M326" s="165" t="n"/>
    </row>
    <row r="327" ht="14.25" customHeight="1" s="113">
      <c r="A327" s="171" t="inlineStr">
        <is>
          <t>GLP - PRE</t>
        </is>
      </c>
      <c r="B327" s="171" t="inlineStr">
        <is>
          <t>GLP</t>
        </is>
      </c>
      <c r="C327" s="161" t="n"/>
      <c r="D327" s="172" t="n"/>
      <c r="E327" s="171" t="inlineStr">
        <is>
          <t>06Q1951</t>
        </is>
      </c>
      <c r="F327" s="118" t="n"/>
      <c r="G327" s="171" t="inlineStr">
        <is>
          <t>GLP SCREWCAPS (680 tappi)</t>
        </is>
      </c>
      <c r="H327" s="171" t="inlineStr">
        <is>
          <t>680 pezzi</t>
        </is>
      </c>
      <c r="I327" s="171" t="n"/>
      <c r="J327" s="171" t="n"/>
      <c r="K327" s="171" t="n"/>
      <c r="L327" s="172" t="n"/>
      <c r="M327" s="173" t="inlineStr">
        <is>
          <t>25-30</t>
        </is>
      </c>
    </row>
    <row r="328" ht="14.25" customHeight="1" s="113">
      <c r="A328" s="174" t="inlineStr">
        <is>
          <t>GLP - PRE</t>
        </is>
      </c>
      <c r="B328" s="174" t="inlineStr">
        <is>
          <t>GLP</t>
        </is>
      </c>
      <c r="C328" s="175" t="n"/>
      <c r="D328" s="176" t="n"/>
      <c r="E328" s="174" t="inlineStr">
        <is>
          <t>06Q1461</t>
        </is>
      </c>
      <c r="F328" s="118" t="n"/>
      <c r="G328" s="174" t="inlineStr">
        <is>
          <t>GLP SECONDARY TUBES (SCREW)</t>
        </is>
      </c>
      <c r="H328" s="174" t="n"/>
      <c r="I328" s="174" t="n"/>
      <c r="J328" s="174" t="n"/>
      <c r="K328" s="174" t="n"/>
      <c r="L328" s="176" t="n"/>
      <c r="M328" s="177" t="n"/>
    </row>
    <row r="329" ht="14.25" customHeight="1" s="113">
      <c r="A329" s="115" t="inlineStr">
        <is>
          <t>GLP - PRE</t>
        </is>
      </c>
      <c r="B329" s="115" t="inlineStr">
        <is>
          <t>GLP</t>
        </is>
      </c>
      <c r="C329" s="116" t="n"/>
      <c r="D329" s="142" t="n"/>
      <c r="E329" s="115" t="inlineStr">
        <is>
          <t>07V7003</t>
        </is>
      </c>
      <c r="F329" s="118" t="n"/>
      <c r="G329" s="115" t="inlineStr">
        <is>
          <t>Z-SELECT 2000D THERMAL PAPER LABELS ROLL</t>
        </is>
      </c>
      <c r="H329" s="115" t="n"/>
      <c r="I329" s="115" t="n"/>
      <c r="J329" s="115" t="n"/>
      <c r="K329" s="115" t="n"/>
      <c r="L329" s="142" t="n"/>
      <c r="M329" s="165" t="inlineStr">
        <is>
          <t>?</t>
        </is>
      </c>
    </row>
    <row r="330" ht="14.25" customHeight="1" s="113">
      <c r="A330" s="115" t="inlineStr">
        <is>
          <t>GLP - PRE</t>
        </is>
      </c>
      <c r="B330" s="115" t="inlineStr">
        <is>
          <t>GLP</t>
        </is>
      </c>
      <c r="C330" s="116" t="n"/>
      <c r="D330" s="142" t="n"/>
      <c r="E330" s="115" t="inlineStr">
        <is>
          <t>06R4001</t>
        </is>
      </c>
      <c r="F330" s="118" t="n"/>
      <c r="G330" s="115" t="inlineStr">
        <is>
          <t>GLP TRAY SCR TBS</t>
        </is>
      </c>
      <c r="H330" s="115" t="n"/>
      <c r="I330" s="115" t="n"/>
      <c r="J330" s="115" t="n"/>
      <c r="K330" s="115" t="n"/>
      <c r="L330" s="142" t="n"/>
      <c r="M330" s="165" t="inlineStr">
        <is>
          <t>?</t>
        </is>
      </c>
    </row>
    <row r="331" ht="14.25" customHeight="1" s="113">
      <c r="A331" s="115" t="inlineStr">
        <is>
          <t>CC</t>
        </is>
      </c>
      <c r="B331" s="115" t="inlineStr">
        <is>
          <t>Cal</t>
        </is>
      </c>
      <c r="C331" s="178" t="n"/>
      <c r="D331" s="179" t="n"/>
      <c r="E331" s="180" t="inlineStr">
        <is>
          <t>6T3201</t>
        </is>
      </c>
      <c r="F331" s="118" t="n"/>
      <c r="G331" s="115" t="inlineStr">
        <is>
          <t>Alinity c CYS C Calibratori</t>
        </is>
      </c>
      <c r="H331" s="115" t="inlineStr">
        <is>
          <t>5x1 ml</t>
        </is>
      </c>
      <c r="I331" s="115" t="n"/>
      <c r="J331" s="115" t="n"/>
      <c r="K331" s="115" t="n"/>
      <c r="L331" s="142" t="n"/>
      <c r="M331" s="165" t="n"/>
    </row>
    <row r="332" ht="14.25" customHeight="1" s="113">
      <c r="A332" s="115" t="inlineStr">
        <is>
          <t>CC</t>
        </is>
      </c>
      <c r="B332" s="115" t="inlineStr">
        <is>
          <t>QC</t>
        </is>
      </c>
      <c r="C332" s="178" t="n"/>
      <c r="D332" s="179" t="n"/>
      <c r="E332" s="180" t="inlineStr">
        <is>
          <t>6T3210</t>
        </is>
      </c>
      <c r="F332" s="118" t="n"/>
      <c r="G332" s="115" t="inlineStr">
        <is>
          <t>Alinity c CYS C Controlli</t>
        </is>
      </c>
      <c r="H332" s="115" t="inlineStr">
        <is>
          <t>2x1,1 ml</t>
        </is>
      </c>
      <c r="I332" s="115" t="n"/>
      <c r="J332" s="115" t="n"/>
      <c r="K332" s="144" t="n"/>
      <c r="L332" s="142" t="n"/>
      <c r="M332" s="165" t="n"/>
    </row>
    <row r="333" ht="14.25" customHeight="1" s="113">
      <c r="A333" s="115" t="inlineStr">
        <is>
          <t>CC</t>
        </is>
      </c>
      <c r="B333" s="115" t="inlineStr">
        <is>
          <t>QC</t>
        </is>
      </c>
      <c r="C333" s="116" t="n"/>
      <c r="D333" s="142" t="n"/>
      <c r="E333" s="115" t="inlineStr">
        <is>
          <t>8P8810</t>
        </is>
      </c>
      <c r="F333" s="181" t="n"/>
      <c r="G333" s="115" t="inlineStr">
        <is>
          <t>MULTI S 1</t>
        </is>
      </c>
      <c r="H333" s="115" t="n"/>
      <c r="I333" s="115" t="n"/>
      <c r="J333" s="115" t="n"/>
      <c r="K333" s="115" t="n"/>
      <c r="L333" s="142" t="n"/>
      <c r="M333" s="165" t="n"/>
    </row>
    <row r="334" ht="14.25" customHeight="1" s="113">
      <c r="A334" s="115" t="inlineStr">
        <is>
          <t>CC</t>
        </is>
      </c>
      <c r="B334" s="115" t="inlineStr">
        <is>
          <t>QC</t>
        </is>
      </c>
      <c r="C334" s="116" t="n"/>
      <c r="D334" s="142" t="n"/>
      <c r="E334" s="115" t="inlineStr">
        <is>
          <t>8P8811</t>
        </is>
      </c>
      <c r="F334" s="181" t="n"/>
      <c r="G334" s="115" t="inlineStr">
        <is>
          <t>MULTI S 2</t>
        </is>
      </c>
      <c r="H334" s="115" t="n"/>
      <c r="I334" s="115" t="n"/>
      <c r="J334" s="115" t="n"/>
      <c r="K334" s="115" t="n"/>
      <c r="L334" s="142" t="n"/>
      <c r="M334" s="165" t="n"/>
    </row>
    <row r="335" ht="14.25" customHeight="1" s="113">
      <c r="A335" s="115" t="inlineStr">
        <is>
          <t>CC</t>
        </is>
      </c>
      <c r="B335" s="115" t="inlineStr">
        <is>
          <t>QC</t>
        </is>
      </c>
      <c r="C335" s="116" t="n"/>
      <c r="D335" s="142" t="n"/>
      <c r="E335" s="115" t="inlineStr">
        <is>
          <t>8P8812</t>
        </is>
      </c>
      <c r="F335" s="181" t="n"/>
      <c r="G335" s="115" t="inlineStr">
        <is>
          <t>MULTI S 3</t>
        </is>
      </c>
      <c r="H335" s="115" t="n"/>
      <c r="I335" s="115" t="n"/>
      <c r="J335" s="115" t="n"/>
      <c r="K335" s="115" t="n"/>
      <c r="L335" s="142" t="n"/>
      <c r="M335" s="165" t="n"/>
    </row>
    <row r="336" ht="14.25" customHeight="1" s="113">
      <c r="A336" s="115" t="inlineStr">
        <is>
          <t>IA</t>
        </is>
      </c>
      <c r="B336" s="115" t="inlineStr">
        <is>
          <t>QC</t>
        </is>
      </c>
      <c r="C336" s="116" t="n"/>
      <c r="D336" s="142" t="n"/>
      <c r="E336" s="115" t="inlineStr">
        <is>
          <t>8P8610</t>
        </is>
      </c>
      <c r="F336" s="181" t="n"/>
      <c r="G336" s="115" t="inlineStr">
        <is>
          <t>MULTI IA</t>
        </is>
      </c>
      <c r="H336" s="115" t="n"/>
      <c r="I336" s="115" t="n"/>
      <c r="J336" s="115" t="n"/>
      <c r="K336" s="115" t="n"/>
      <c r="L336" s="142" t="n"/>
      <c r="M336" s="165" t="n"/>
    </row>
    <row r="337" ht="14.25" customHeight="1" s="113">
      <c r="A337" s="115" t="inlineStr">
        <is>
          <t>IA</t>
        </is>
      </c>
      <c r="B337" s="115" t="inlineStr">
        <is>
          <t>QC</t>
        </is>
      </c>
      <c r="C337" s="116" t="n"/>
      <c r="D337" s="142" t="n"/>
      <c r="E337" s="115" t="inlineStr">
        <is>
          <t>8P8910</t>
        </is>
      </c>
      <c r="F337" s="181" t="n"/>
      <c r="G337" s="115" t="inlineStr">
        <is>
          <t xml:space="preserve">MULTI U </t>
        </is>
      </c>
      <c r="H337" s="115" t="n"/>
      <c r="I337" s="115" t="n"/>
      <c r="J337" s="115" t="n"/>
      <c r="K337" s="115" t="n"/>
      <c r="L337" s="142" t="n"/>
      <c r="M337" s="165" t="n"/>
    </row>
    <row r="338" ht="14.25" customHeight="1" s="113">
      <c r="A338" s="182" t="inlineStr">
        <is>
          <t>IA</t>
        </is>
      </c>
      <c r="B338" s="182" t="inlineStr">
        <is>
          <t>QC</t>
        </is>
      </c>
      <c r="C338" s="183" t="n"/>
      <c r="D338" s="143" t="n"/>
      <c r="E338" s="182" t="inlineStr">
        <is>
          <t xml:space="preserve">4S1610 </t>
        </is>
      </c>
      <c r="F338" s="181" t="n"/>
      <c r="G338" s="182" t="inlineStr">
        <is>
          <t>WBT</t>
        </is>
      </c>
      <c r="H338" s="182" t="n"/>
      <c r="I338" s="182" t="n"/>
      <c r="J338" s="115" t="n"/>
      <c r="K338" s="182" t="n"/>
      <c r="L338" s="143" t="n"/>
      <c r="M338" s="184" t="n"/>
    </row>
    <row r="339" ht="14.25" customHeight="1" s="113">
      <c r="A339" s="115" t="inlineStr">
        <is>
          <t>IA</t>
        </is>
      </c>
      <c r="B339" s="115" t="inlineStr">
        <is>
          <t>Cal</t>
        </is>
      </c>
      <c r="C339" s="116" t="n"/>
      <c r="D339" s="142" t="n"/>
      <c r="E339" s="115" t="inlineStr">
        <is>
          <t xml:space="preserve">07P6001 </t>
        </is>
      </c>
      <c r="F339" s="118" t="n"/>
      <c r="G339" s="115" t="inlineStr">
        <is>
          <t xml:space="preserve">ALINITY I SYPHILIS TP CAL </t>
        </is>
      </c>
      <c r="H339" s="115" t="inlineStr">
        <is>
          <t>1 liv x 3 mL</t>
        </is>
      </c>
      <c r="I339" s="115" t="n"/>
      <c r="J339" s="115" t="n"/>
      <c r="K339" s="115" t="n"/>
      <c r="L339" s="142" t="n"/>
      <c r="M339" s="165" t="n"/>
    </row>
    <row r="340" ht="14.25" customHeight="1" s="113">
      <c r="A340" s="115" t="inlineStr">
        <is>
          <t>IA</t>
        </is>
      </c>
      <c r="B340" s="115" t="inlineStr">
        <is>
          <t>Cal</t>
        </is>
      </c>
      <c r="C340" s="116" t="n"/>
      <c r="D340" s="142" t="n"/>
      <c r="E340" s="115" t="inlineStr">
        <is>
          <t>04V3701</t>
        </is>
      </c>
      <c r="F340" s="118" t="n"/>
      <c r="G340" s="115" t="inlineStr">
        <is>
          <t>Alinity i STAT Myoglobin Cals</t>
        </is>
      </c>
      <c r="H340" s="115" t="inlineStr">
        <is>
          <t>1x6 mL</t>
        </is>
      </c>
      <c r="I340" s="115" t="n"/>
      <c r="J340" s="115" t="n"/>
      <c r="K340" s="115" t="n"/>
      <c r="L340" s="142" t="n"/>
      <c r="M340" s="165" t="n"/>
    </row>
    <row r="341" ht="14.25" customHeight="1" s="113">
      <c r="A341" s="115" t="inlineStr">
        <is>
          <t>IA</t>
        </is>
      </c>
      <c r="B341" s="115" t="inlineStr">
        <is>
          <t>RGT</t>
        </is>
      </c>
      <c r="C341" s="116" t="inlineStr">
        <is>
          <t>OMOCISTEINA</t>
        </is>
      </c>
      <c r="D341" s="185" t="inlineStr">
        <is>
          <t xml:space="preserve">tHCY-DIL; tHCY-UNDIL; </t>
        </is>
      </c>
      <c r="E341" s="115" t="inlineStr">
        <is>
          <t>09P2820</t>
        </is>
      </c>
      <c r="F341" s="118" t="n"/>
      <c r="G341" s="115" t="inlineStr">
        <is>
          <t>Alinity i Homocysteine Reagent</t>
        </is>
      </c>
      <c r="H341" s="115" t="n">
        <v>200</v>
      </c>
      <c r="I341" s="115" t="inlineStr">
        <is>
          <t>2x100</t>
        </is>
      </c>
      <c r="J341" s="115" t="n"/>
      <c r="K341" s="115" t="n"/>
      <c r="L341" s="142" t="n"/>
      <c r="M341" s="165" t="n"/>
    </row>
    <row r="342" ht="14.25" customHeight="1" s="113">
      <c r="A342" s="115" t="inlineStr">
        <is>
          <t>IA</t>
        </is>
      </c>
      <c r="B342" s="115" t="inlineStr">
        <is>
          <t>Cal</t>
        </is>
      </c>
      <c r="C342" s="116" t="n"/>
      <c r="D342" s="185" t="n"/>
      <c r="E342" s="115" t="inlineStr">
        <is>
          <t>09P2801</t>
        </is>
      </c>
      <c r="F342" s="118" t="n"/>
      <c r="G342" s="115" t="inlineStr">
        <is>
          <t>Alinity i Homocysteine Calibratori</t>
        </is>
      </c>
      <c r="H342" s="115" t="inlineStr">
        <is>
          <t>6x3mL</t>
        </is>
      </c>
      <c r="I342" s="115" t="n"/>
      <c r="J342" s="115" t="n"/>
      <c r="K342" s="115" t="n"/>
      <c r="L342" s="142" t="n"/>
      <c r="M342" s="165" t="n"/>
    </row>
    <row r="343" ht="14.25" customHeight="1" s="113">
      <c r="A343" s="115" t="inlineStr">
        <is>
          <t>IA</t>
        </is>
      </c>
      <c r="B343" s="115" t="inlineStr">
        <is>
          <t>RGT</t>
        </is>
      </c>
      <c r="C343" s="116" t="inlineStr">
        <is>
          <t>TRAb</t>
        </is>
      </c>
      <c r="D343" s="117" t="n"/>
      <c r="E343" s="115" t="inlineStr">
        <is>
          <t>04V1822</t>
        </is>
      </c>
      <c r="F343" s="118" t="n"/>
      <c r="G343" s="186" t="inlineStr">
        <is>
          <t>Alinity i TRAb Reagent</t>
        </is>
      </c>
      <c r="H343" s="115" t="n">
        <v>200</v>
      </c>
      <c r="I343" s="115" t="inlineStr">
        <is>
          <t>2x100</t>
        </is>
      </c>
      <c r="J343" s="115" t="n"/>
      <c r="K343" s="115" t="n"/>
      <c r="L343" s="187" t="n">
        <v>800</v>
      </c>
      <c r="M343" s="188" t="n"/>
    </row>
    <row r="344" ht="14.25" customHeight="1" s="113">
      <c r="A344" s="115" t="inlineStr">
        <is>
          <t>IA</t>
        </is>
      </c>
      <c r="B344" s="115" t="inlineStr">
        <is>
          <t>Cal</t>
        </is>
      </c>
      <c r="C344" s="116" t="n"/>
      <c r="D344" s="117" t="n"/>
      <c r="E344" s="115" t="inlineStr">
        <is>
          <t>04V1801</t>
        </is>
      </c>
      <c r="F344" s="118" t="n"/>
      <c r="G344" s="186" t="inlineStr">
        <is>
          <t>Alinity i TRAb Calibrator Kit</t>
        </is>
      </c>
      <c r="H344" s="115" t="inlineStr">
        <is>
          <t>6x3mL</t>
        </is>
      </c>
      <c r="I344" s="115" t="n"/>
      <c r="J344" s="115" t="n"/>
      <c r="K344" s="115" t="n"/>
      <c r="L344" s="142" t="n"/>
      <c r="M344" s="165" t="n"/>
    </row>
    <row r="345" ht="14.25" customHeight="1" s="113">
      <c r="A345" s="115" t="inlineStr">
        <is>
          <t>IA</t>
        </is>
      </c>
      <c r="B345" s="115" t="inlineStr">
        <is>
          <t>QC</t>
        </is>
      </c>
      <c r="C345" s="116" t="n"/>
      <c r="D345" s="117" t="n"/>
      <c r="E345" s="115" t="inlineStr">
        <is>
          <t>04V1810</t>
        </is>
      </c>
      <c r="F345" s="118" t="n"/>
      <c r="G345" s="186" t="inlineStr">
        <is>
          <t>Alinity i TRAb Control Kit</t>
        </is>
      </c>
      <c r="H345" s="115" t="inlineStr">
        <is>
          <t>3x8mL</t>
        </is>
      </c>
      <c r="I345" s="115" t="n"/>
      <c r="J345" s="115" t="n"/>
      <c r="K345" s="115" t="n"/>
      <c r="L345" s="142" t="n"/>
      <c r="M345" s="165" t="n"/>
    </row>
    <row r="346" ht="14.25" customHeight="1" s="113">
      <c r="A346" s="115" t="inlineStr">
        <is>
          <t>CC</t>
        </is>
      </c>
      <c r="B346" s="115" t="inlineStr">
        <is>
          <t>RGT</t>
        </is>
      </c>
      <c r="C346" s="116" t="inlineStr">
        <is>
          <t>VANCOMICINA</t>
        </is>
      </c>
      <c r="D346" s="117" t="inlineStr">
        <is>
          <t>Vancomycin</t>
        </is>
      </c>
      <c r="E346" s="115" t="inlineStr">
        <is>
          <t>08P5220</t>
        </is>
      </c>
      <c r="F346" s="118" t="n"/>
      <c r="G346" s="189" t="inlineStr">
        <is>
          <t>Alinity c Vancomycin Reagent</t>
        </is>
      </c>
      <c r="H346" s="115" t="n">
        <v>400</v>
      </c>
      <c r="I346" s="115" t="inlineStr">
        <is>
          <t>2x200</t>
        </is>
      </c>
      <c r="J346" s="115" t="n"/>
      <c r="K346" s="115" t="n"/>
      <c r="L346" s="187" t="n">
        <v>100</v>
      </c>
      <c r="M346" s="188" t="n"/>
    </row>
    <row r="347" ht="14.25" customHeight="1" s="113">
      <c r="A347" s="115" t="inlineStr">
        <is>
          <t>CC</t>
        </is>
      </c>
      <c r="B347" s="115" t="inlineStr">
        <is>
          <t>RGT</t>
        </is>
      </c>
      <c r="C347" s="116" t="inlineStr">
        <is>
          <t>BARBITURICI</t>
        </is>
      </c>
      <c r="D347" s="117" t="inlineStr">
        <is>
          <t>BarbSQ</t>
        </is>
      </c>
      <c r="E347" s="115" t="inlineStr">
        <is>
          <t>09P5120</t>
        </is>
      </c>
      <c r="F347" s="118" t="n"/>
      <c r="G347" s="189" t="inlineStr">
        <is>
          <t>Alinity c Barbiturates Reagent</t>
        </is>
      </c>
      <c r="H347" s="115" t="n">
        <v>400</v>
      </c>
      <c r="I347" s="115" t="inlineStr">
        <is>
          <t>2x200</t>
        </is>
      </c>
      <c r="J347" s="115" t="n"/>
      <c r="K347" s="115" t="n"/>
      <c r="L347" s="187" t="n">
        <v>200</v>
      </c>
      <c r="M347" s="188" t="n"/>
    </row>
    <row r="348" ht="14.25" customHeight="1" s="113">
      <c r="A348" s="190" t="n"/>
      <c r="B348" s="190" t="n"/>
      <c r="C348" s="191" t="n"/>
      <c r="D348" s="192" t="n"/>
      <c r="E348" s="190" t="n"/>
      <c r="F348" s="190" t="n"/>
      <c r="G348" s="193" t="n"/>
      <c r="H348" s="190" t="n"/>
      <c r="I348" s="190" t="n"/>
      <c r="J348" s="190" t="n"/>
      <c r="K348" s="190" t="n"/>
      <c r="L348" s="191" t="n"/>
      <c r="M348" s="194" t="n"/>
    </row>
    <row r="349" hidden="1" ht="14.25" customHeight="1" s="113">
      <c r="A349" s="115" t="n"/>
      <c r="B349" s="115" t="n"/>
      <c r="C349" s="116" t="n"/>
      <c r="D349" s="142" t="n"/>
      <c r="E349" s="115" t="n"/>
      <c r="F349" s="115" t="n"/>
      <c r="G349" s="115" t="inlineStr">
        <is>
          <t>KAPPA</t>
        </is>
      </c>
      <c r="H349" s="115" t="n"/>
      <c r="I349" s="115" t="n"/>
      <c r="J349" s="115" t="n"/>
      <c r="K349" s="115" t="n"/>
      <c r="L349" s="187" t="n"/>
      <c r="M349" s="188" t="n"/>
    </row>
    <row r="350" hidden="1" ht="14.25" customHeight="1" s="113">
      <c r="A350" s="115" t="n"/>
      <c r="B350" s="115" t="n"/>
      <c r="C350" s="116" t="n"/>
      <c r="D350" s="142" t="n"/>
      <c r="E350" s="115" t="n"/>
      <c r="F350" s="115" t="n"/>
      <c r="G350" s="115" t="inlineStr">
        <is>
          <t>LAMBDA</t>
        </is>
      </c>
      <c r="H350" s="115" t="n"/>
      <c r="I350" s="115" t="n"/>
      <c r="J350" s="115" t="n"/>
      <c r="K350" s="115" t="n"/>
      <c r="L350" s="187" t="n"/>
      <c r="M350" s="188" t="n"/>
    </row>
  </sheetData>
  <autoFilter ref="A1:N1"/>
  <mergeCells count="16">
    <mergeCell ref="C103:C104"/>
    <mergeCell ref="C141:C142"/>
    <mergeCell ref="C119:C120"/>
    <mergeCell ref="C51:C52"/>
    <mergeCell ref="C111:C112"/>
    <mergeCell ref="C38:C39"/>
    <mergeCell ref="C47:C48"/>
    <mergeCell ref="C17:C18"/>
    <mergeCell ref="C90:C91"/>
    <mergeCell ref="C82:C83"/>
    <mergeCell ref="C24:C25"/>
    <mergeCell ref="C31:C32"/>
    <mergeCell ref="C45:C46"/>
    <mergeCell ref="C5:C6"/>
    <mergeCell ref="C96:C97"/>
    <mergeCell ref="C92:C93"/>
  </mergeCells>
  <conditionalFormatting sqref="M2 M4 M6:M12 M14:M17 M19:M24 M26:M31 M33:M38 M40:M47 M49:M51 M53:M65 M67:M69 M71:M77 M79 M81:M82 M84:M90 M92 M94:M96 M98:M103 M105:M111 M114:M119 M121:M129 M131:M141 M143 M145:M147">
    <cfRule type="dataBar" priority="2">
      <dataBar minLength="10" maxLength="90" showValue="1">
        <cfvo type="min" val="0"/>
        <cfvo type="max" val="0"/>
        <color rgb="FFFFB628"/>
      </dataBar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48"/>
  <sheetViews>
    <sheetView showFormulas="0" showGridLines="1" showRowColHeaders="1" showZeros="1" rightToLeft="0" tabSelected="0" showOutlineSymbols="1" defaultGridColor="1" view="normal" topLeftCell="A109" colorId="64" zoomScale="100" zoomScaleNormal="100" zoomScalePageLayoutView="100" workbookViewId="0">
      <selection pane="topLeft" activeCell="E141" activeCellId="0" sqref="E141"/>
    </sheetView>
  </sheetViews>
  <sheetFormatPr baseColWidth="8" defaultColWidth="8.79296875" defaultRowHeight="14.25" customHeight="0" zeroHeight="0" outlineLevelRow="0"/>
  <cols>
    <col width="14.1" customWidth="1" style="109" min="1" max="1"/>
    <col width="8.550000000000001" customWidth="1" style="109" min="2" max="2"/>
    <col width="7.73" customWidth="1" style="109" min="3" max="3"/>
    <col hidden="1" width="6.82" customWidth="1" style="109" min="4" max="4"/>
    <col width="10.37" customWidth="1" style="109" min="5" max="5"/>
  </cols>
  <sheetData>
    <row r="1" ht="14.25" customHeight="1" s="113">
      <c r="A1" s="195" t="inlineStr">
        <is>
          <t>ASSAY_NUMBER</t>
        </is>
      </c>
      <c r="B1" s="196" t="inlineStr">
        <is>
          <t>- tutto -</t>
        </is>
      </c>
    </row>
    <row r="3" ht="14.25" customHeight="1" s="113">
      <c r="A3" s="197" t="inlineStr">
        <is>
          <t>Sum of TOT/MM</t>
        </is>
      </c>
      <c r="B3" s="198" t="inlineStr">
        <is>
          <t>MODULE_TYPE</t>
        </is>
      </c>
      <c r="C3" s="199" t="n"/>
      <c r="D3" s="199" t="n"/>
      <c r="E3" s="200" t="n"/>
    </row>
    <row r="4" ht="14.25" customHeight="1" s="113">
      <c r="A4" s="201" t="inlineStr">
        <is>
          <t>ASSAY_NAME</t>
        </is>
      </c>
      <c r="B4" s="202" t="inlineStr">
        <is>
          <t>Alinity c</t>
        </is>
      </c>
      <c r="C4" s="202" t="inlineStr">
        <is>
          <t>Alinity i</t>
        </is>
      </c>
      <c r="D4" s="202" t="inlineStr">
        <is>
          <t>(vuoto)</t>
        </is>
      </c>
      <c r="E4" s="203" t="inlineStr">
        <is>
          <t>Totale Risultato</t>
        </is>
      </c>
    </row>
    <row r="5" ht="14.25" customHeight="1" s="113">
      <c r="A5" s="204" t="inlineStr">
        <is>
          <t>a1AGP</t>
        </is>
      </c>
      <c r="B5" s="205" t="n">
        <v>102</v>
      </c>
      <c r="C5" s="205" t="n"/>
      <c r="D5" s="205" t="n"/>
      <c r="E5" s="206" t="n">
        <v>102</v>
      </c>
    </row>
    <row r="6" ht="14.25" customHeight="1" s="113">
      <c r="A6" s="204" t="inlineStr">
        <is>
          <t>a1AT</t>
        </is>
      </c>
      <c r="B6" s="205" t="n">
        <v>118.666666666667</v>
      </c>
      <c r="C6" s="205" t="n"/>
      <c r="D6" s="205" t="n"/>
      <c r="E6" s="206" t="n">
        <v>118.666666666667</v>
      </c>
    </row>
    <row r="7" ht="14.25" customHeight="1" s="113">
      <c r="A7" s="204" t="inlineStr">
        <is>
          <t>A-ALT</t>
        </is>
      </c>
      <c r="B7" s="205" t="n">
        <v>15328</v>
      </c>
      <c r="C7" s="205" t="n"/>
      <c r="D7" s="205" t="n"/>
      <c r="E7" s="206" t="n">
        <v>15328</v>
      </c>
    </row>
    <row r="8" ht="14.25" customHeight="1" s="113">
      <c r="A8" s="204" t="inlineStr">
        <is>
          <t>A-AST</t>
        </is>
      </c>
      <c r="B8" s="205" t="n">
        <v>14228.3333333333</v>
      </c>
      <c r="C8" s="205" t="n"/>
      <c r="D8" s="205" t="n"/>
      <c r="E8" s="206" t="n">
        <v>14228.3333333333</v>
      </c>
    </row>
    <row r="9" ht="14.25" customHeight="1" s="113">
      <c r="A9" s="204" t="inlineStr">
        <is>
          <t>AFP</t>
        </is>
      </c>
      <c r="B9" s="205" t="n"/>
      <c r="C9" s="205" t="n">
        <v>392</v>
      </c>
      <c r="D9" s="205" t="n"/>
      <c r="E9" s="206" t="n">
        <v>392</v>
      </c>
    </row>
    <row r="10" ht="14.25" customHeight="1" s="113">
      <c r="A10" s="204" t="inlineStr">
        <is>
          <t>AlbBCG2</t>
        </is>
      </c>
      <c r="B10" s="205" t="n">
        <v>1439</v>
      </c>
      <c r="C10" s="205" t="n"/>
      <c r="D10" s="205" t="n"/>
      <c r="E10" s="206" t="n">
        <v>1439</v>
      </c>
    </row>
    <row r="11" ht="14.25" customHeight="1" s="113">
      <c r="A11" s="204" t="inlineStr">
        <is>
          <t>AlkP2F</t>
        </is>
      </c>
      <c r="B11" s="205" t="n">
        <v>3508</v>
      </c>
      <c r="C11" s="205" t="n"/>
      <c r="D11" s="205" t="n"/>
      <c r="E11" s="206" t="n">
        <v>3508</v>
      </c>
    </row>
    <row r="12" ht="14.25" customHeight="1" s="113">
      <c r="A12" s="204" t="inlineStr">
        <is>
          <t>Ammonia</t>
        </is>
      </c>
      <c r="B12" s="205" t="n">
        <v>302</v>
      </c>
      <c r="C12" s="205" t="n"/>
      <c r="D12" s="205" t="n"/>
      <c r="E12" s="206" t="n">
        <v>302</v>
      </c>
    </row>
    <row r="13" ht="14.25" customHeight="1" s="113">
      <c r="A13" s="204" t="inlineStr">
        <is>
          <t>AmpSQ</t>
        </is>
      </c>
      <c r="B13" s="205" t="n">
        <v>341.666666666667</v>
      </c>
      <c r="C13" s="205" t="n"/>
      <c r="D13" s="205" t="n"/>
      <c r="E13" s="206" t="n">
        <v>341.666666666667</v>
      </c>
    </row>
    <row r="14" ht="14.25" customHeight="1" s="113">
      <c r="A14" s="204" t="inlineStr">
        <is>
          <t>AMY2F</t>
        </is>
      </c>
      <c r="B14" s="205" t="n">
        <v>1310.33333333333</v>
      </c>
      <c r="C14" s="205" t="n"/>
      <c r="D14" s="205" t="n"/>
      <c r="E14" s="206" t="n">
        <v>1310.33333333333</v>
      </c>
    </row>
    <row r="15" ht="14.25" customHeight="1" s="113">
      <c r="A15" s="204" t="inlineStr">
        <is>
          <t>AMY2-UF</t>
        </is>
      </c>
      <c r="B15" s="205" t="n">
        <v>203.333333333333</v>
      </c>
      <c r="C15" s="205" t="n"/>
      <c r="D15" s="205" t="n"/>
      <c r="E15" s="206" t="n">
        <v>203.333333333333</v>
      </c>
    </row>
    <row r="16" ht="14.25" customHeight="1" s="113">
      <c r="A16" s="204" t="inlineStr">
        <is>
          <t>Anti-HBc</t>
        </is>
      </c>
      <c r="B16" s="205" t="n"/>
      <c r="C16" s="205" t="n">
        <v>515</v>
      </c>
      <c r="D16" s="205" t="n"/>
      <c r="E16" s="206" t="n">
        <v>515</v>
      </c>
    </row>
    <row r="17" ht="14.25" customHeight="1" s="113">
      <c r="A17" s="204" t="inlineStr">
        <is>
          <t>Anti-HBc M</t>
        </is>
      </c>
      <c r="B17" s="205" t="n"/>
      <c r="C17" s="205" t="n">
        <v>417.666666666667</v>
      </c>
      <c r="D17" s="205" t="n"/>
      <c r="E17" s="206" t="n">
        <v>417.666666666667</v>
      </c>
    </row>
    <row r="18" ht="14.25" customHeight="1" s="113">
      <c r="A18" s="204" t="inlineStr">
        <is>
          <t>Anti-HBe</t>
        </is>
      </c>
      <c r="B18" s="205" t="n"/>
      <c r="C18" s="205" t="n">
        <v>416.333333333333</v>
      </c>
      <c r="D18" s="205" t="n"/>
      <c r="E18" s="206" t="n">
        <v>416.333333333333</v>
      </c>
    </row>
    <row r="19" ht="14.25" customHeight="1" s="113">
      <c r="A19" s="204" t="inlineStr">
        <is>
          <t>AntiHBsdil</t>
        </is>
      </c>
      <c r="B19" s="205" t="n"/>
      <c r="C19" s="205" t="n">
        <v>1334.33333333333</v>
      </c>
      <c r="D19" s="205" t="n"/>
      <c r="E19" s="206" t="n">
        <v>1334.33333333333</v>
      </c>
    </row>
    <row r="20" ht="14.25" customHeight="1" s="113">
      <c r="A20" s="204" t="inlineStr">
        <is>
          <t>Anti-HCVII</t>
        </is>
      </c>
      <c r="B20" s="205" t="n"/>
      <c r="C20" s="205" t="n">
        <v>1598.33333333333</v>
      </c>
      <c r="D20" s="205" t="n"/>
      <c r="E20" s="206" t="n">
        <v>1598.33333333333</v>
      </c>
    </row>
    <row r="21" ht="14.25" customHeight="1" s="113">
      <c r="A21" s="204" t="inlineStr">
        <is>
          <t>Anti-Tg</t>
        </is>
      </c>
      <c r="B21" s="205" t="n"/>
      <c r="C21" s="205" t="n">
        <v>767.333333333333</v>
      </c>
      <c r="D21" s="205" t="n"/>
      <c r="E21" s="206" t="n">
        <v>767.333333333333</v>
      </c>
    </row>
    <row r="22" ht="14.25" customHeight="1" s="113">
      <c r="A22" s="204" t="inlineStr">
        <is>
          <t>Anti-TPO</t>
        </is>
      </c>
      <c r="B22" s="205" t="n"/>
      <c r="C22" s="205" t="n">
        <v>730.333333333333</v>
      </c>
      <c r="D22" s="205" t="n"/>
      <c r="E22" s="206" t="n">
        <v>730.333333333333</v>
      </c>
    </row>
    <row r="23" ht="14.25" customHeight="1" s="113">
      <c r="A23" s="204" t="inlineStr">
        <is>
          <t>APOA1</t>
        </is>
      </c>
      <c r="B23" s="205" t="n">
        <v>130.666666666667</v>
      </c>
      <c r="C23" s="205" t="n"/>
      <c r="D23" s="205" t="n"/>
      <c r="E23" s="206" t="n">
        <v>130.666666666667</v>
      </c>
    </row>
    <row r="24" ht="14.25" customHeight="1" s="113">
      <c r="A24" s="204" t="inlineStr">
        <is>
          <t>APOB</t>
        </is>
      </c>
      <c r="B24" s="205" t="n">
        <v>196.666666666667</v>
      </c>
      <c r="C24" s="205" t="n"/>
      <c r="D24" s="205" t="n"/>
      <c r="E24" s="206" t="n">
        <v>196.666666666667</v>
      </c>
    </row>
    <row r="25" ht="14.25" customHeight="1" s="113">
      <c r="A25" s="204" t="inlineStr">
        <is>
          <t>ASO</t>
        </is>
      </c>
      <c r="B25" s="205" t="n">
        <v>170.666666666667</v>
      </c>
      <c r="C25" s="205" t="n"/>
      <c r="D25" s="205" t="n"/>
      <c r="E25" s="206" t="n">
        <v>170.666666666667</v>
      </c>
    </row>
    <row r="26" ht="14.25" customHeight="1" s="113">
      <c r="A26" s="204" t="inlineStr">
        <is>
          <t>B2M</t>
        </is>
      </c>
      <c r="B26" s="205" t="n">
        <v>290.333333333333</v>
      </c>
      <c r="C26" s="205" t="n"/>
      <c r="D26" s="205" t="n"/>
      <c r="E26" s="206" t="n">
        <v>290.333333333333</v>
      </c>
    </row>
    <row r="27" ht="14.25" customHeight="1" s="113">
      <c r="A27" s="204" t="inlineStr">
        <is>
          <t>BarbSQ</t>
        </is>
      </c>
      <c r="B27" s="205" t="n">
        <v>98.3333333333333</v>
      </c>
      <c r="C27" s="205" t="n"/>
      <c r="D27" s="205" t="n"/>
      <c r="E27" s="206" t="n">
        <v>98.3333333333333</v>
      </c>
    </row>
    <row r="28" ht="14.25" customHeight="1" s="113">
      <c r="A28" s="204" t="inlineStr">
        <is>
          <t>BenzSQ</t>
        </is>
      </c>
      <c r="B28" s="205" t="n">
        <v>420</v>
      </c>
      <c r="C28" s="205" t="n"/>
      <c r="D28" s="205" t="n"/>
      <c r="E28" s="206" t="n">
        <v>420</v>
      </c>
    </row>
    <row r="29" ht="14.25" customHeight="1" s="113">
      <c r="A29" s="204" t="inlineStr">
        <is>
          <t>B-hCG</t>
        </is>
      </c>
      <c r="B29" s="205" t="n"/>
      <c r="C29" s="205" t="n">
        <v>515.666666666667</v>
      </c>
      <c r="D29" s="205" t="n"/>
      <c r="E29" s="206" t="n">
        <v>515.666666666667</v>
      </c>
    </row>
    <row r="30" ht="14.25" customHeight="1" s="113">
      <c r="A30" s="204" t="inlineStr">
        <is>
          <t>Bile Acids</t>
        </is>
      </c>
      <c r="B30" s="205" t="n">
        <v>159.666666666667</v>
      </c>
      <c r="C30" s="205" t="n"/>
      <c r="D30" s="205" t="n"/>
      <c r="E30" s="206" t="n">
        <v>159.666666666667</v>
      </c>
    </row>
    <row r="31" ht="14.25" customHeight="1" s="113">
      <c r="A31" s="204" t="inlineStr">
        <is>
          <t>Bili D</t>
        </is>
      </c>
      <c r="B31" s="205" t="n">
        <v>9057.33333333333</v>
      </c>
      <c r="C31" s="205" t="n"/>
      <c r="D31" s="205" t="n"/>
      <c r="E31" s="206" t="n">
        <v>9057.33333333333</v>
      </c>
    </row>
    <row r="32" ht="14.25" customHeight="1" s="113">
      <c r="A32" s="204" t="inlineStr">
        <is>
          <t>BNP</t>
        </is>
      </c>
      <c r="B32" s="205" t="n"/>
      <c r="C32" s="205" t="n">
        <v>1566.66666666667</v>
      </c>
      <c r="D32" s="205" t="n"/>
      <c r="E32" s="206" t="n">
        <v>1566.66666666667</v>
      </c>
    </row>
    <row r="33" ht="14.25" customHeight="1" s="113">
      <c r="A33" s="204" t="inlineStr">
        <is>
          <t>BUP SQ</t>
        </is>
      </c>
      <c r="B33" s="205" t="n">
        <v>210.666666666667</v>
      </c>
      <c r="C33" s="205" t="n"/>
      <c r="D33" s="205" t="n"/>
      <c r="E33" s="206" t="n">
        <v>210.666666666667</v>
      </c>
    </row>
    <row r="34" ht="14.25" customHeight="1" s="113">
      <c r="A34" s="204" t="inlineStr">
        <is>
          <t>C3</t>
        </is>
      </c>
      <c r="B34" s="205" t="n">
        <v>236</v>
      </c>
      <c r="C34" s="205" t="n"/>
      <c r="D34" s="205" t="n"/>
      <c r="E34" s="206" t="n">
        <v>236</v>
      </c>
    </row>
    <row r="35" ht="14.25" customHeight="1" s="113">
      <c r="A35" s="204" t="inlineStr">
        <is>
          <t>C4</t>
        </is>
      </c>
      <c r="B35" s="205" t="n">
        <v>239.666666666667</v>
      </c>
      <c r="C35" s="205" t="n"/>
      <c r="D35" s="205" t="n"/>
      <c r="E35" s="206" t="n">
        <v>239.666666666667</v>
      </c>
    </row>
    <row r="36" ht="14.25" customHeight="1" s="113">
      <c r="A36" s="204" t="inlineStr">
        <is>
          <t>CA 125 II</t>
        </is>
      </c>
      <c r="B36" s="205" t="n"/>
      <c r="C36" s="205" t="n">
        <v>441.666666666667</v>
      </c>
      <c r="D36" s="205" t="n"/>
      <c r="E36" s="206" t="n">
        <v>441.666666666667</v>
      </c>
    </row>
    <row r="37" ht="14.25" customHeight="1" s="113">
      <c r="A37" s="204" t="inlineStr">
        <is>
          <t>CA 15-3</t>
        </is>
      </c>
      <c r="B37" s="205" t="n"/>
      <c r="C37" s="205" t="n">
        <v>491.666666666667</v>
      </c>
      <c r="D37" s="205" t="n"/>
      <c r="E37" s="206" t="n">
        <v>491.666666666667</v>
      </c>
    </row>
    <row r="38" ht="14.25" customHeight="1" s="113">
      <c r="A38" s="204" t="inlineStr">
        <is>
          <t>CA19-9XR</t>
        </is>
      </c>
      <c r="B38" s="205" t="n"/>
      <c r="C38" s="205" t="n">
        <v>480.333333333333</v>
      </c>
      <c r="D38" s="205" t="n"/>
      <c r="E38" s="206" t="n">
        <v>480.333333333333</v>
      </c>
    </row>
    <row r="39" ht="14.25" customHeight="1" s="113">
      <c r="A39" s="204" t="inlineStr">
        <is>
          <t>CaC2</t>
        </is>
      </c>
      <c r="B39" s="205" t="n">
        <v>10161.6666666667</v>
      </c>
      <c r="C39" s="205" t="n"/>
      <c r="D39" s="205" t="n"/>
      <c r="E39" s="206" t="n">
        <v>10161.6666666667</v>
      </c>
    </row>
    <row r="40" ht="14.25" customHeight="1" s="113">
      <c r="A40" s="204" t="inlineStr">
        <is>
          <t>CaC2-U</t>
        </is>
      </c>
      <c r="B40" s="205" t="n">
        <v>279</v>
      </c>
      <c r="C40" s="205" t="n"/>
      <c r="D40" s="205" t="n"/>
      <c r="E40" s="206" t="n">
        <v>279</v>
      </c>
    </row>
    <row r="41" ht="14.25" customHeight="1" s="113">
      <c r="A41" s="204" t="inlineStr">
        <is>
          <t>Carb</t>
        </is>
      </c>
      <c r="B41" s="205" t="n">
        <v>166.666666666667</v>
      </c>
      <c r="C41" s="205" t="n"/>
      <c r="D41" s="205" t="n"/>
      <c r="E41" s="206" t="n">
        <v>166.666666666667</v>
      </c>
    </row>
    <row r="42" ht="14.25" customHeight="1" s="113">
      <c r="A42" s="204" t="inlineStr">
        <is>
          <t>CEA</t>
        </is>
      </c>
      <c r="B42" s="205" t="n"/>
      <c r="C42" s="205" t="n">
        <v>789.333333333333</v>
      </c>
      <c r="D42" s="205" t="n"/>
      <c r="E42" s="206" t="n">
        <v>789.333333333333</v>
      </c>
    </row>
    <row r="43" ht="14.25" customHeight="1" s="113">
      <c r="A43" s="204" t="inlineStr">
        <is>
          <t>Cerulo</t>
        </is>
      </c>
      <c r="B43" s="205" t="n">
        <v>133.333333333333</v>
      </c>
      <c r="C43" s="205" t="n"/>
      <c r="D43" s="205" t="n"/>
      <c r="E43" s="206" t="n">
        <v>133.333333333333</v>
      </c>
    </row>
    <row r="44" ht="14.25" customHeight="1" s="113">
      <c r="A44" s="204" t="inlineStr">
        <is>
          <t>CHE</t>
        </is>
      </c>
      <c r="B44" s="205" t="n">
        <v>2192</v>
      </c>
      <c r="C44" s="205" t="n"/>
      <c r="D44" s="205" t="n"/>
      <c r="E44" s="206" t="n">
        <v>2192</v>
      </c>
    </row>
    <row r="45" ht="14.25" customHeight="1" s="113">
      <c r="A45" s="204" t="inlineStr">
        <is>
          <t>Chol2</t>
        </is>
      </c>
      <c r="B45" s="205" t="n">
        <v>8868.66666666667</v>
      </c>
      <c r="C45" s="205" t="n"/>
      <c r="D45" s="205" t="n"/>
      <c r="E45" s="206" t="n">
        <v>8868.66666666667</v>
      </c>
    </row>
    <row r="46" ht="14.25" customHeight="1" s="113">
      <c r="A46" s="204" t="inlineStr">
        <is>
          <t>CK</t>
        </is>
      </c>
      <c r="B46" s="205" t="n">
        <v>5522.66666666667</v>
      </c>
      <c r="C46" s="205" t="n"/>
      <c r="D46" s="205" t="n"/>
      <c r="E46" s="206" t="n">
        <v>5522.66666666667</v>
      </c>
    </row>
    <row r="47" ht="14.25" customHeight="1" s="113">
      <c r="A47" s="204" t="inlineStr">
        <is>
          <t>CK-MB STAT</t>
        </is>
      </c>
      <c r="B47" s="205" t="n"/>
      <c r="C47" s="205" t="n">
        <v>1431.33333333333</v>
      </c>
      <c r="D47" s="205" t="n"/>
      <c r="E47" s="206" t="n">
        <v>1431.33333333333</v>
      </c>
    </row>
    <row r="48" ht="14.25" customHeight="1" s="113">
      <c r="A48" s="204" t="inlineStr">
        <is>
          <t>Cl-C</t>
        </is>
      </c>
      <c r="B48" s="205" t="n">
        <v>6913.33333333333</v>
      </c>
      <c r="C48" s="205" t="n"/>
      <c r="D48" s="205" t="n"/>
      <c r="E48" s="206" t="n">
        <v>6913.33333333333</v>
      </c>
    </row>
    <row r="49" ht="14.25" customHeight="1" s="113">
      <c r="A49" s="204" t="inlineStr">
        <is>
          <t>Cl-CU</t>
        </is>
      </c>
      <c r="B49" s="205" t="n">
        <v>924.666666666667</v>
      </c>
      <c r="C49" s="205" t="n"/>
      <c r="D49" s="205" t="n"/>
      <c r="E49" s="206" t="n">
        <v>924.666666666667</v>
      </c>
    </row>
    <row r="50" ht="14.25" customHeight="1" s="113">
      <c r="A50" s="204" t="inlineStr">
        <is>
          <t>CocSQ1</t>
        </is>
      </c>
      <c r="B50" s="205" t="n">
        <v>804</v>
      </c>
      <c r="C50" s="205" t="n"/>
      <c r="D50" s="205" t="n"/>
      <c r="E50" s="206" t="n">
        <v>804</v>
      </c>
    </row>
    <row r="51" ht="14.25" customHeight="1" s="113">
      <c r="A51" s="204" t="inlineStr">
        <is>
          <t>Cortisol</t>
        </is>
      </c>
      <c r="B51" s="205" t="n"/>
      <c r="C51" s="205" t="n">
        <v>331</v>
      </c>
      <c r="D51" s="205" t="n"/>
      <c r="E51" s="206" t="n">
        <v>331</v>
      </c>
    </row>
    <row r="52" ht="14.25" customHeight="1" s="113">
      <c r="A52" s="204" t="inlineStr">
        <is>
          <t>C-Peptide</t>
        </is>
      </c>
      <c r="B52" s="205" t="n"/>
      <c r="C52" s="205" t="n">
        <v>151.666666666667</v>
      </c>
      <c r="D52" s="205" t="n"/>
      <c r="E52" s="206" t="n">
        <v>151.666666666667</v>
      </c>
    </row>
    <row r="53" ht="14.25" customHeight="1" s="113">
      <c r="A53" s="204" t="inlineStr">
        <is>
          <t>CrEnz</t>
        </is>
      </c>
      <c r="B53" s="205" t="n">
        <v>17885.6666666667</v>
      </c>
      <c r="C53" s="205" t="n"/>
      <c r="D53" s="205" t="n"/>
      <c r="E53" s="206" t="n">
        <v>17885.6666666667</v>
      </c>
    </row>
    <row r="54" ht="14.25" customHeight="1" s="113">
      <c r="A54" s="204" t="inlineStr">
        <is>
          <t>CrEnzU</t>
        </is>
      </c>
      <c r="B54" s="205" t="n">
        <v>2420</v>
      </c>
      <c r="C54" s="205" t="n"/>
      <c r="D54" s="205" t="n"/>
      <c r="E54" s="206" t="n">
        <v>2420</v>
      </c>
    </row>
    <row r="55" ht="14.25" customHeight="1" s="113">
      <c r="A55" s="204" t="inlineStr">
        <is>
          <t>CRP16</t>
        </is>
      </c>
      <c r="B55" s="205" t="n">
        <v>9135.66666666667</v>
      </c>
      <c r="C55" s="205" t="n"/>
      <c r="D55" s="205" t="n"/>
      <c r="E55" s="206" t="n">
        <v>9135.66666666667</v>
      </c>
    </row>
    <row r="56" ht="14.25" customHeight="1" s="113">
      <c r="A56" s="204" t="inlineStr">
        <is>
          <t>Cyclo</t>
        </is>
      </c>
      <c r="B56" s="205" t="n"/>
      <c r="C56" s="205" t="n">
        <v>55</v>
      </c>
      <c r="D56" s="205" t="n"/>
      <c r="E56" s="206" t="n">
        <v>55</v>
      </c>
    </row>
    <row r="57" ht="14.25" customHeight="1" s="113">
      <c r="A57" s="204" t="inlineStr">
        <is>
          <t>DHEA-S</t>
        </is>
      </c>
      <c r="B57" s="205" t="n"/>
      <c r="C57" s="205" t="n">
        <v>180.333333333333</v>
      </c>
      <c r="D57" s="205" t="n"/>
      <c r="E57" s="206" t="n">
        <v>180.333333333333</v>
      </c>
    </row>
    <row r="58" ht="14.25" customHeight="1" s="113">
      <c r="A58" s="204" t="inlineStr">
        <is>
          <t>DIBCH</t>
        </is>
      </c>
      <c r="B58" s="205" t="n">
        <v>710.333333333333</v>
      </c>
      <c r="C58" s="205" t="n"/>
      <c r="D58" s="205" t="n"/>
      <c r="E58" s="206" t="n">
        <v>710.333333333333</v>
      </c>
    </row>
    <row r="59" ht="14.25" customHeight="1" s="113">
      <c r="A59" s="204" t="inlineStr">
        <is>
          <t>Digoxin</t>
        </is>
      </c>
      <c r="B59" s="205" t="n">
        <v>116.333333333333</v>
      </c>
      <c r="C59" s="205" t="n"/>
      <c r="D59" s="205" t="n"/>
      <c r="E59" s="206" t="n">
        <v>116.333333333333</v>
      </c>
    </row>
    <row r="60" ht="14.25" customHeight="1" s="113">
      <c r="A60" s="204" t="inlineStr">
        <is>
          <t>Direct LDL</t>
        </is>
      </c>
      <c r="B60" s="205" t="n">
        <v>3502.66666666667</v>
      </c>
      <c r="C60" s="205" t="n"/>
      <c r="D60" s="205" t="n"/>
      <c r="E60" s="206" t="n">
        <v>3502.66666666667</v>
      </c>
    </row>
    <row r="61" ht="14.25" customHeight="1" s="113">
      <c r="A61" s="204" t="inlineStr">
        <is>
          <t>EcstSQ</t>
        </is>
      </c>
      <c r="B61" s="205" t="n">
        <v>101</v>
      </c>
      <c r="C61" s="205" t="n"/>
      <c r="D61" s="205" t="n"/>
      <c r="E61" s="206" t="n">
        <v>101</v>
      </c>
    </row>
    <row r="62" ht="14.25" customHeight="1" s="113">
      <c r="A62" s="204" t="inlineStr">
        <is>
          <t>Estradiol</t>
        </is>
      </c>
      <c r="B62" s="205" t="n"/>
      <c r="C62" s="205" t="n">
        <v>274.666666666667</v>
      </c>
      <c r="D62" s="205" t="n"/>
      <c r="E62" s="206" t="n">
        <v>274.666666666667</v>
      </c>
    </row>
    <row r="63" ht="14.25" customHeight="1" s="113">
      <c r="A63" s="204" t="inlineStr">
        <is>
          <t>Ethanol</t>
        </is>
      </c>
      <c r="B63" s="205" t="n">
        <v>239.333333333333</v>
      </c>
      <c r="C63" s="205" t="n"/>
      <c r="D63" s="205" t="n"/>
      <c r="E63" s="206" t="n">
        <v>239.333333333333</v>
      </c>
    </row>
    <row r="64" ht="14.25" customHeight="1" s="113">
      <c r="A64" s="204" t="inlineStr">
        <is>
          <t>Ferritin</t>
        </is>
      </c>
      <c r="B64" s="205" t="n"/>
      <c r="C64" s="205" t="n">
        <v>5479.33333333333</v>
      </c>
      <c r="D64" s="205" t="n"/>
      <c r="E64" s="206" t="n">
        <v>5479.33333333333</v>
      </c>
    </row>
    <row r="65" ht="14.25" customHeight="1" s="113">
      <c r="A65" s="204" t="inlineStr">
        <is>
          <t>Folate</t>
        </is>
      </c>
      <c r="B65" s="205" t="n"/>
      <c r="C65" s="205" t="n">
        <v>1912.33333333333</v>
      </c>
      <c r="D65" s="205" t="n"/>
      <c r="E65" s="206" t="n">
        <v>1912.33333333333</v>
      </c>
    </row>
    <row r="66" ht="14.25" customHeight="1" s="113">
      <c r="A66" s="204" t="inlineStr">
        <is>
          <t>Free PSA</t>
        </is>
      </c>
      <c r="B66" s="205" t="n"/>
      <c r="C66" s="205" t="n">
        <v>970.333333333333</v>
      </c>
      <c r="D66" s="205" t="n"/>
      <c r="E66" s="206" t="n">
        <v>970.333333333333</v>
      </c>
    </row>
    <row r="67" ht="14.25" customHeight="1" s="113">
      <c r="A67" s="204" t="inlineStr">
        <is>
          <t>Free T3</t>
        </is>
      </c>
      <c r="B67" s="205" t="n"/>
      <c r="C67" s="205" t="n">
        <v>2954.66666666667</v>
      </c>
      <c r="D67" s="205" t="n"/>
      <c r="E67" s="206" t="n">
        <v>2954.66666666667</v>
      </c>
    </row>
    <row r="68" ht="14.25" customHeight="1" s="113">
      <c r="A68" s="204" t="inlineStr">
        <is>
          <t>Free T4</t>
        </is>
      </c>
      <c r="B68" s="205" t="n"/>
      <c r="C68" s="205" t="n">
        <v>3742.66666666667</v>
      </c>
      <c r="D68" s="205" t="n"/>
      <c r="E68" s="206" t="n">
        <v>3742.66666666667</v>
      </c>
    </row>
    <row r="69" ht="14.25" customHeight="1" s="113">
      <c r="A69" s="204" t="inlineStr">
        <is>
          <t>FSH</t>
        </is>
      </c>
      <c r="B69" s="205" t="n"/>
      <c r="C69" s="205" t="n">
        <v>320.333333333333</v>
      </c>
      <c r="D69" s="205" t="n"/>
      <c r="E69" s="206" t="n">
        <v>320.333333333333</v>
      </c>
    </row>
    <row r="70" ht="14.25" customHeight="1" s="113">
      <c r="A70" s="204" t="inlineStr">
        <is>
          <t>G6PD NURA</t>
        </is>
      </c>
      <c r="B70" s="205" t="n">
        <v>33</v>
      </c>
      <c r="C70" s="205" t="n"/>
      <c r="D70" s="205" t="n"/>
      <c r="E70" s="206" t="n">
        <v>33</v>
      </c>
    </row>
    <row r="71" ht="14.25" customHeight="1" s="113">
      <c r="A71" s="204" t="inlineStr">
        <is>
          <t>G6PD NURB</t>
        </is>
      </c>
      <c r="B71" s="205" t="n">
        <v>33.3333333333333</v>
      </c>
      <c r="C71" s="205" t="n"/>
      <c r="D71" s="205" t="n"/>
      <c r="E71" s="206" t="n">
        <v>33.3333333333333</v>
      </c>
    </row>
    <row r="72" ht="14.25" customHeight="1" s="113">
      <c r="A72" s="204" t="inlineStr">
        <is>
          <t>G6PDH NUR</t>
        </is>
      </c>
      <c r="B72" s="205" t="n">
        <v>7.33333333333333</v>
      </c>
      <c r="C72" s="205" t="n"/>
      <c r="D72" s="205" t="n"/>
      <c r="E72" s="206" t="n">
        <v>7.33333333333333</v>
      </c>
    </row>
    <row r="73" ht="14.25" customHeight="1" s="113">
      <c r="A73" s="204" t="inlineStr">
        <is>
          <t>Gentamicin</t>
        </is>
      </c>
      <c r="B73" s="205" t="n">
        <v>1</v>
      </c>
      <c r="C73" s="205" t="n"/>
      <c r="D73" s="205" t="n"/>
      <c r="E73" s="206" t="n">
        <v>1</v>
      </c>
    </row>
    <row r="74" ht="14.25" customHeight="1" s="113">
      <c r="A74" s="204" t="inlineStr">
        <is>
          <t>GGT2</t>
        </is>
      </c>
      <c r="B74" s="205" t="n">
        <v>8476.33333333333</v>
      </c>
      <c r="C74" s="205" t="n"/>
      <c r="D74" s="205" t="n"/>
      <c r="E74" s="206" t="n">
        <v>8476.33333333333</v>
      </c>
    </row>
    <row r="75" ht="14.25" customHeight="1" s="113">
      <c r="A75" s="204" t="inlineStr">
        <is>
          <t>Glucose</t>
        </is>
      </c>
      <c r="B75" s="205" t="n">
        <v>16384</v>
      </c>
      <c r="C75" s="205" t="n"/>
      <c r="D75" s="205" t="n"/>
      <c r="E75" s="206" t="n">
        <v>16384</v>
      </c>
    </row>
    <row r="76" ht="14.25" customHeight="1" s="113">
      <c r="A76" s="204" t="inlineStr">
        <is>
          <t>Glucose CU</t>
        </is>
      </c>
      <c r="B76" s="205" t="n">
        <v>230</v>
      </c>
      <c r="C76" s="205" t="n"/>
      <c r="D76" s="205" t="n"/>
      <c r="E76" s="206" t="n">
        <v>230</v>
      </c>
    </row>
    <row r="77" ht="14.25" customHeight="1" s="113">
      <c r="A77" s="204" t="inlineStr">
        <is>
          <t>Haptoglob</t>
        </is>
      </c>
      <c r="B77" s="205" t="n">
        <v>149</v>
      </c>
      <c r="C77" s="205" t="n"/>
      <c r="D77" s="205" t="n"/>
      <c r="E77" s="206" t="n">
        <v>149</v>
      </c>
    </row>
    <row r="78" ht="14.25" customHeight="1" s="113">
      <c r="A78" s="204" t="inlineStr">
        <is>
          <t>HAVAb IgM</t>
        </is>
      </c>
      <c r="B78" s="205" t="n"/>
      <c r="C78" s="205" t="n">
        <v>124.666666666667</v>
      </c>
      <c r="D78" s="205" t="n"/>
      <c r="E78" s="206" t="n">
        <v>124.666666666667</v>
      </c>
    </row>
    <row r="79" ht="14.25" customHeight="1" s="113">
      <c r="A79" s="204" t="inlineStr">
        <is>
          <t>HAVAb-IgG</t>
        </is>
      </c>
      <c r="B79" s="205" t="n"/>
      <c r="C79" s="205" t="n">
        <v>132.333333333333</v>
      </c>
      <c r="D79" s="205" t="n"/>
      <c r="E79" s="206" t="n">
        <v>132.333333333333</v>
      </c>
    </row>
    <row r="80" ht="14.25" customHeight="1" s="113">
      <c r="A80" s="204" t="inlineStr">
        <is>
          <t>HBeAg</t>
        </is>
      </c>
      <c r="B80" s="205" t="n"/>
      <c r="C80" s="205" t="n">
        <v>411.333333333333</v>
      </c>
      <c r="D80" s="205" t="n"/>
      <c r="E80" s="206" t="n">
        <v>411.333333333333</v>
      </c>
    </row>
    <row r="81" ht="14.25" customHeight="1" s="113">
      <c r="A81" s="204" t="inlineStr">
        <is>
          <t>HBsAg dil</t>
        </is>
      </c>
      <c r="B81" s="205" t="n"/>
      <c r="C81" s="205" t="n">
        <v>320</v>
      </c>
      <c r="D81" s="205" t="n"/>
      <c r="E81" s="206" t="n">
        <v>320</v>
      </c>
    </row>
    <row r="82" ht="14.25" customHeight="1" s="113">
      <c r="A82" s="204" t="inlineStr">
        <is>
          <t>HBsAgNx</t>
        </is>
      </c>
      <c r="B82" s="205" t="n"/>
      <c r="C82" s="205" t="n">
        <v>1387.66666666667</v>
      </c>
      <c r="D82" s="205" t="n"/>
      <c r="E82" s="206" t="n">
        <v>1387.66666666667</v>
      </c>
    </row>
    <row r="83" ht="14.25" customHeight="1" s="113">
      <c r="A83" s="204" t="inlineStr">
        <is>
          <t>HE4</t>
        </is>
      </c>
      <c r="B83" s="205" t="n"/>
      <c r="C83" s="205" t="n">
        <v>141</v>
      </c>
      <c r="D83" s="205" t="n"/>
      <c r="E83" s="206" t="n">
        <v>141</v>
      </c>
    </row>
    <row r="84" ht="14.25" customHeight="1" s="113">
      <c r="A84" s="204" t="inlineStr">
        <is>
          <t>Hemolysis</t>
        </is>
      </c>
      <c r="B84" s="205" t="n">
        <v>25319</v>
      </c>
      <c r="C84" s="205" t="n"/>
      <c r="D84" s="205" t="n"/>
      <c r="E84" s="206" t="n">
        <v>25319</v>
      </c>
    </row>
    <row r="85" ht="14.25" customHeight="1" s="113">
      <c r="A85" s="204" t="inlineStr">
        <is>
          <t>HILref</t>
        </is>
      </c>
      <c r="B85" s="205" t="n">
        <v>25345.6666666667</v>
      </c>
      <c r="C85" s="205" t="n"/>
      <c r="D85" s="205" t="n"/>
      <c r="E85" s="206" t="n">
        <v>25345.6666666667</v>
      </c>
    </row>
    <row r="86" ht="14.25" customHeight="1" s="113">
      <c r="A86" s="204" t="inlineStr">
        <is>
          <t>HIV Ag/Ab</t>
        </is>
      </c>
      <c r="B86" s="205" t="n"/>
      <c r="C86" s="205" t="n">
        <v>1131</v>
      </c>
      <c r="D86" s="205" t="n"/>
      <c r="E86" s="206" t="n">
        <v>1131</v>
      </c>
    </row>
    <row r="87" ht="14.25" customHeight="1" s="113">
      <c r="A87" s="204" t="inlineStr">
        <is>
          <t>Icterus</t>
        </is>
      </c>
      <c r="B87" s="205" t="n">
        <v>25319</v>
      </c>
      <c r="C87" s="205" t="n"/>
      <c r="D87" s="205" t="n"/>
      <c r="E87" s="206" t="n">
        <v>25319</v>
      </c>
    </row>
    <row r="88" ht="14.25" customHeight="1" s="113">
      <c r="A88" s="204" t="inlineStr">
        <is>
          <t>IgA</t>
        </is>
      </c>
      <c r="B88" s="205" t="n">
        <v>506.666666666667</v>
      </c>
      <c r="C88" s="205" t="n"/>
      <c r="D88" s="205" t="n"/>
      <c r="E88" s="206" t="n">
        <v>506.666666666667</v>
      </c>
    </row>
    <row r="89" ht="14.25" customHeight="1" s="113">
      <c r="A89" s="204" t="inlineStr">
        <is>
          <t>IgE</t>
        </is>
      </c>
      <c r="B89" s="205" t="n">
        <v>339.666666666667</v>
      </c>
      <c r="C89" s="205" t="n"/>
      <c r="D89" s="205" t="n"/>
      <c r="E89" s="206" t="n">
        <v>339.666666666667</v>
      </c>
    </row>
    <row r="90" ht="14.25" customHeight="1" s="113">
      <c r="A90" s="204" t="inlineStr">
        <is>
          <t>IgG</t>
        </is>
      </c>
      <c r="B90" s="205" t="n">
        <v>357</v>
      </c>
      <c r="C90" s="205" t="n"/>
      <c r="D90" s="205" t="n"/>
      <c r="E90" s="206" t="n">
        <v>357</v>
      </c>
    </row>
    <row r="91" ht="14.25" customHeight="1" s="113">
      <c r="A91" s="204" t="inlineStr">
        <is>
          <t>IgM</t>
        </is>
      </c>
      <c r="B91" s="205" t="n">
        <v>347.333333333333</v>
      </c>
      <c r="C91" s="205" t="n"/>
      <c r="D91" s="205" t="n"/>
      <c r="E91" s="206" t="n">
        <v>347.333333333333</v>
      </c>
    </row>
    <row r="92" ht="14.25" customHeight="1" s="113">
      <c r="A92" s="204" t="inlineStr">
        <is>
          <t>Insulin</t>
        </is>
      </c>
      <c r="B92" s="205" t="n"/>
      <c r="C92" s="205" t="n">
        <v>703.333333333333</v>
      </c>
      <c r="D92" s="205" t="n"/>
      <c r="E92" s="206" t="n">
        <v>703.333333333333</v>
      </c>
    </row>
    <row r="93" ht="14.25" customHeight="1" s="113">
      <c r="A93" s="204" t="inlineStr">
        <is>
          <t>iPTH Stat</t>
        </is>
      </c>
      <c r="B93" s="205" t="n"/>
      <c r="C93" s="205" t="n">
        <v>875.666666666667</v>
      </c>
      <c r="D93" s="205" t="n"/>
      <c r="E93" s="206" t="n">
        <v>875.666666666667</v>
      </c>
    </row>
    <row r="94" ht="14.25" customHeight="1" s="113">
      <c r="A94" s="204" t="inlineStr">
        <is>
          <t>Iron2</t>
        </is>
      </c>
      <c r="B94" s="205" t="n">
        <v>4757</v>
      </c>
      <c r="C94" s="205" t="n"/>
      <c r="D94" s="205" t="n"/>
      <c r="E94" s="206" t="n">
        <v>4757</v>
      </c>
    </row>
    <row r="95" ht="14.25" customHeight="1" s="113">
      <c r="A95" s="204" t="inlineStr">
        <is>
          <t>K-C</t>
        </is>
      </c>
      <c r="B95" s="205" t="n">
        <v>12308.6666666667</v>
      </c>
      <c r="C95" s="205" t="n"/>
      <c r="D95" s="205" t="n"/>
      <c r="E95" s="206" t="n">
        <v>12308.6666666667</v>
      </c>
    </row>
    <row r="96" ht="14.25" customHeight="1" s="113">
      <c r="A96" s="204" t="inlineStr">
        <is>
          <t>K-CU</t>
        </is>
      </c>
      <c r="B96" s="205" t="n">
        <v>929.666666666667</v>
      </c>
      <c r="C96" s="205" t="n"/>
      <c r="D96" s="205" t="n"/>
      <c r="E96" s="206" t="n">
        <v>929.666666666667</v>
      </c>
    </row>
    <row r="97" ht="14.25" customHeight="1" s="113">
      <c r="A97" s="204" t="inlineStr">
        <is>
          <t>LDH2F</t>
        </is>
      </c>
      <c r="B97" s="205" t="n">
        <v>6414.33333333333</v>
      </c>
      <c r="C97" s="205" t="n"/>
      <c r="D97" s="205" t="n"/>
      <c r="E97" s="206" t="n">
        <v>6414.33333333333</v>
      </c>
    </row>
    <row r="98" ht="14.25" customHeight="1" s="113">
      <c r="A98" s="204" t="inlineStr">
        <is>
          <t>LH</t>
        </is>
      </c>
      <c r="B98" s="205" t="n"/>
      <c r="C98" s="205" t="n">
        <v>292.666666666667</v>
      </c>
      <c r="D98" s="205" t="n"/>
      <c r="E98" s="206" t="n">
        <v>292.666666666667</v>
      </c>
    </row>
    <row r="99" ht="14.25" customHeight="1" s="113">
      <c r="A99" s="204" t="inlineStr">
        <is>
          <t>Lip2</t>
        </is>
      </c>
      <c r="B99" s="205" t="n">
        <v>4001.66666666667</v>
      </c>
      <c r="C99" s="205" t="n"/>
      <c r="D99" s="205" t="n"/>
      <c r="E99" s="206" t="n">
        <v>4001.66666666667</v>
      </c>
    </row>
    <row r="100" ht="14.25" customHeight="1" s="113">
      <c r="A100" s="204" t="inlineStr">
        <is>
          <t>Lipemia</t>
        </is>
      </c>
      <c r="B100" s="205" t="n">
        <v>25319</v>
      </c>
      <c r="C100" s="205" t="n"/>
      <c r="D100" s="205" t="n"/>
      <c r="E100" s="206" t="n">
        <v>25319</v>
      </c>
    </row>
    <row r="101" ht="14.25" customHeight="1" s="113">
      <c r="A101" s="204" t="inlineStr">
        <is>
          <t>Lithium</t>
        </is>
      </c>
      <c r="B101" s="205" t="n">
        <v>167.333333333333</v>
      </c>
      <c r="C101" s="205" t="n"/>
      <c r="D101" s="205" t="n"/>
      <c r="E101" s="206" t="n">
        <v>167.333333333333</v>
      </c>
    </row>
    <row r="102" ht="14.25" customHeight="1" s="113">
      <c r="A102" s="204" t="inlineStr">
        <is>
          <t>Magnesium</t>
        </is>
      </c>
      <c r="B102" s="205" t="n">
        <v>2645.33333333333</v>
      </c>
      <c r="C102" s="205" t="n"/>
      <c r="D102" s="205" t="n"/>
      <c r="E102" s="206" t="n">
        <v>2645.33333333333</v>
      </c>
    </row>
    <row r="103" ht="14.25" customHeight="1" s="113">
      <c r="A103" s="204" t="inlineStr">
        <is>
          <t>MagnesiumU</t>
        </is>
      </c>
      <c r="B103" s="205" t="n">
        <v>240</v>
      </c>
      <c r="C103" s="205" t="n"/>
      <c r="D103" s="205" t="n"/>
      <c r="E103" s="206" t="n">
        <v>240</v>
      </c>
    </row>
    <row r="104" ht="14.25" customHeight="1" s="113">
      <c r="A104" s="204" t="inlineStr">
        <is>
          <t>MethSQ</t>
        </is>
      </c>
      <c r="B104" s="205" t="n">
        <v>406.333333333333</v>
      </c>
      <c r="C104" s="205" t="n"/>
      <c r="D104" s="205" t="n"/>
      <c r="E104" s="206" t="n">
        <v>406.333333333333</v>
      </c>
    </row>
    <row r="105" ht="14.25" customHeight="1" s="113">
      <c r="A105" s="204" t="inlineStr">
        <is>
          <t>Microalb</t>
        </is>
      </c>
      <c r="B105" s="205" t="n">
        <v>1541.66666666667</v>
      </c>
      <c r="C105" s="205" t="n"/>
      <c r="D105" s="205" t="n"/>
      <c r="E105" s="206" t="n">
        <v>1541.66666666667</v>
      </c>
    </row>
    <row r="106" ht="14.25" customHeight="1" s="113">
      <c r="A106" s="204" t="inlineStr">
        <is>
          <t>MTX UNDIL</t>
        </is>
      </c>
      <c r="B106" s="205" t="n"/>
      <c r="C106" s="205" t="n">
        <v>19</v>
      </c>
      <c r="D106" s="205" t="n"/>
      <c r="E106" s="206" t="n">
        <v>19</v>
      </c>
    </row>
    <row r="107" ht="14.25" customHeight="1" s="113">
      <c r="A107" s="204" t="inlineStr">
        <is>
          <t>Myo STAT</t>
        </is>
      </c>
      <c r="B107" s="205" t="n"/>
      <c r="C107" s="205" t="n">
        <v>732.333333333333</v>
      </c>
      <c r="D107" s="205" t="n"/>
      <c r="E107" s="206" t="n">
        <v>732.333333333333</v>
      </c>
    </row>
    <row r="108" ht="14.25" customHeight="1" s="113">
      <c r="A108" s="204" t="inlineStr">
        <is>
          <t>Na-C</t>
        </is>
      </c>
      <c r="B108" s="205" t="n">
        <v>12049</v>
      </c>
      <c r="C108" s="205" t="n"/>
      <c r="D108" s="205" t="n"/>
      <c r="E108" s="206" t="n">
        <v>12049</v>
      </c>
    </row>
    <row r="109" ht="14.25" customHeight="1" s="113">
      <c r="A109" s="204" t="inlineStr">
        <is>
          <t>Na-CU</t>
        </is>
      </c>
      <c r="B109" s="205" t="n">
        <v>948.3333333333341</v>
      </c>
      <c r="C109" s="205" t="n"/>
      <c r="D109" s="205" t="n"/>
      <c r="E109" s="206" t="n">
        <v>948.3333333333341</v>
      </c>
    </row>
    <row r="110" ht="14.25" customHeight="1" s="113">
      <c r="A110" s="204" t="inlineStr">
        <is>
          <t>Opi1SQ</t>
        </is>
      </c>
      <c r="B110" s="205" t="n">
        <v>784.666666666667</v>
      </c>
      <c r="C110" s="205" t="n"/>
      <c r="D110" s="205" t="n"/>
      <c r="E110" s="206" t="n">
        <v>784.666666666667</v>
      </c>
    </row>
    <row r="111" ht="14.25" customHeight="1" s="113">
      <c r="A111" s="204" t="inlineStr">
        <is>
          <t>P Amylase</t>
        </is>
      </c>
      <c r="B111" s="205" t="n">
        <v>3134.66666666667</v>
      </c>
      <c r="C111" s="205" t="n"/>
      <c r="D111" s="205" t="n"/>
      <c r="E111" s="206" t="n">
        <v>3134.66666666667</v>
      </c>
    </row>
    <row r="112" ht="14.25" customHeight="1" s="113">
      <c r="A112" s="204" t="inlineStr">
        <is>
          <t>PCT</t>
        </is>
      </c>
      <c r="B112" s="205" t="n"/>
      <c r="C112" s="205" t="n">
        <v>1002</v>
      </c>
      <c r="D112" s="205" t="n"/>
      <c r="E112" s="206" t="n">
        <v>1002</v>
      </c>
    </row>
    <row r="113" ht="14.25" customHeight="1" s="113">
      <c r="A113" s="204" t="inlineStr">
        <is>
          <t>Phenobarb</t>
        </is>
      </c>
      <c r="B113" s="205" t="n">
        <v>104.666666666667</v>
      </c>
      <c r="C113" s="205" t="n"/>
      <c r="D113" s="205" t="n"/>
      <c r="E113" s="206" t="n">
        <v>104.666666666667</v>
      </c>
    </row>
    <row r="114" ht="14.25" customHeight="1" s="113">
      <c r="A114" s="204" t="inlineStr">
        <is>
          <t>Phenytoin</t>
        </is>
      </c>
      <c r="B114" s="205" t="n">
        <v>136.333333333333</v>
      </c>
      <c r="C114" s="205" t="n"/>
      <c r="D114" s="205" t="n"/>
      <c r="E114" s="206" t="n">
        <v>136.333333333333</v>
      </c>
    </row>
    <row r="115" ht="14.25" customHeight="1" s="113">
      <c r="A115" s="204" t="inlineStr">
        <is>
          <t>Phos2</t>
        </is>
      </c>
      <c r="B115" s="205" t="n">
        <v>1702.33333333333</v>
      </c>
      <c r="C115" s="205" t="n"/>
      <c r="D115" s="205" t="n"/>
      <c r="E115" s="206" t="n">
        <v>1702.33333333333</v>
      </c>
    </row>
    <row r="116" ht="14.25" customHeight="1" s="113">
      <c r="A116" s="204" t="inlineStr">
        <is>
          <t>Phos2-U</t>
        </is>
      </c>
      <c r="B116" s="205" t="n">
        <v>232</v>
      </c>
      <c r="C116" s="205" t="n"/>
      <c r="D116" s="205" t="n"/>
      <c r="E116" s="206" t="n">
        <v>232</v>
      </c>
    </row>
    <row r="117" ht="14.25" customHeight="1" s="113">
      <c r="A117" s="204" t="inlineStr">
        <is>
          <t>Progest</t>
        </is>
      </c>
      <c r="B117" s="205" t="n"/>
      <c r="C117" s="205" t="n">
        <v>183</v>
      </c>
      <c r="D117" s="205" t="n"/>
      <c r="E117" s="206" t="n">
        <v>183</v>
      </c>
    </row>
    <row r="118" ht="14.25" customHeight="1" s="113">
      <c r="A118" s="204" t="inlineStr">
        <is>
          <t>Prolactin</t>
        </is>
      </c>
      <c r="B118" s="205" t="n"/>
      <c r="C118" s="205" t="n">
        <v>423.666666666667</v>
      </c>
      <c r="D118" s="205" t="n"/>
      <c r="E118" s="206" t="n">
        <v>423.666666666667</v>
      </c>
    </row>
    <row r="119" ht="14.25" customHeight="1" s="113">
      <c r="A119" s="204" t="inlineStr">
        <is>
          <t>RF</t>
        </is>
      </c>
      <c r="B119" s="205" t="n">
        <v>467.333333333333</v>
      </c>
      <c r="C119" s="205" t="n"/>
      <c r="D119" s="205" t="n"/>
      <c r="E119" s="206" t="n">
        <v>467.333333333333</v>
      </c>
    </row>
    <row r="120" ht="14.25" customHeight="1" s="113">
      <c r="A120" s="204" t="inlineStr">
        <is>
          <t>SHBG</t>
        </is>
      </c>
      <c r="B120" s="205" t="n"/>
      <c r="C120" s="205" t="n">
        <v>151.666666666667</v>
      </c>
      <c r="D120" s="205" t="n"/>
      <c r="E120" s="206" t="n">
        <v>151.666666666667</v>
      </c>
    </row>
    <row r="121" ht="14.25" customHeight="1" s="113">
      <c r="A121" s="204" t="inlineStr">
        <is>
          <t>Sirolimus</t>
        </is>
      </c>
      <c r="B121" s="205" t="n"/>
      <c r="C121" s="205" t="n">
        <v>14.3333333333333</v>
      </c>
      <c r="D121" s="205" t="n"/>
      <c r="E121" s="206" t="n">
        <v>14.3333333333333</v>
      </c>
    </row>
    <row r="122" ht="14.25" customHeight="1" s="113">
      <c r="A122" s="204" t="inlineStr">
        <is>
          <t>Syphilis</t>
        </is>
      </c>
      <c r="B122" s="205" t="n"/>
      <c r="C122" s="205" t="n">
        <v>642</v>
      </c>
      <c r="D122" s="205" t="n"/>
      <c r="E122" s="206" t="n">
        <v>642</v>
      </c>
    </row>
    <row r="123" ht="14.25" customHeight="1" s="113">
      <c r="A123" s="204" t="inlineStr">
        <is>
          <t>Tacrolimus</t>
        </is>
      </c>
      <c r="B123" s="205" t="n"/>
      <c r="C123" s="205" t="n">
        <v>163.333333333333</v>
      </c>
      <c r="D123" s="205" t="n"/>
      <c r="E123" s="206" t="n">
        <v>163.333333333333</v>
      </c>
    </row>
    <row r="124" ht="14.25" customHeight="1" s="113">
      <c r="A124" s="204" t="inlineStr">
        <is>
          <t>TBili2</t>
        </is>
      </c>
      <c r="B124" s="205" t="n">
        <v>9183.33333333333</v>
      </c>
      <c r="C124" s="205" t="n"/>
      <c r="D124" s="205" t="n"/>
      <c r="E124" s="206" t="n">
        <v>9183.33333333333</v>
      </c>
    </row>
    <row r="125" ht="14.25" customHeight="1" s="113">
      <c r="A125" s="204" t="inlineStr">
        <is>
          <t>Testo</t>
        </is>
      </c>
      <c r="B125" s="205" t="n"/>
      <c r="C125" s="205" t="n">
        <v>410.666666666667</v>
      </c>
      <c r="D125" s="205" t="n"/>
      <c r="E125" s="206" t="n">
        <v>410.666666666667</v>
      </c>
    </row>
    <row r="126" ht="14.25" customHeight="1" s="113">
      <c r="A126" s="204" t="inlineStr">
        <is>
          <t>Tg</t>
        </is>
      </c>
      <c r="B126" s="205" t="n"/>
      <c r="C126" s="205" t="n">
        <v>8</v>
      </c>
      <c r="D126" s="205" t="n"/>
      <c r="E126" s="206" t="n">
        <v>8</v>
      </c>
    </row>
    <row r="127" ht="14.25" customHeight="1" s="113">
      <c r="A127" s="204" t="inlineStr">
        <is>
          <t>THC1SQ</t>
        </is>
      </c>
      <c r="B127" s="205" t="n">
        <v>776</v>
      </c>
      <c r="C127" s="205" t="n"/>
      <c r="D127" s="205" t="n"/>
      <c r="E127" s="206" t="n">
        <v>776</v>
      </c>
    </row>
    <row r="128" ht="14.25" customHeight="1" s="113">
      <c r="A128" s="204" t="inlineStr">
        <is>
          <t>tHCY-DIL</t>
        </is>
      </c>
      <c r="B128" s="205" t="n"/>
      <c r="C128" s="205" t="n">
        <v>17</v>
      </c>
      <c r="D128" s="205" t="n"/>
      <c r="E128" s="206" t="n">
        <v>17</v>
      </c>
    </row>
    <row r="129" ht="14.25" customHeight="1" s="113">
      <c r="A129" s="204" t="inlineStr">
        <is>
          <t>tHCY-UNDIL</t>
        </is>
      </c>
      <c r="B129" s="205" t="n"/>
      <c r="C129" s="205" t="n">
        <v>772.333333333333</v>
      </c>
      <c r="D129" s="205" t="n"/>
      <c r="E129" s="206" t="n">
        <v>772.333333333333</v>
      </c>
    </row>
    <row r="130" ht="14.25" customHeight="1" s="113">
      <c r="A130" s="204" t="inlineStr">
        <is>
          <t>Theo</t>
        </is>
      </c>
      <c r="B130" s="205" t="n">
        <v>100</v>
      </c>
      <c r="C130" s="205" t="n"/>
      <c r="D130" s="205" t="n"/>
      <c r="E130" s="206" t="n">
        <v>100</v>
      </c>
    </row>
    <row r="131" ht="14.25" customHeight="1" s="113">
      <c r="A131" s="204" t="inlineStr">
        <is>
          <t>TnI MI RS</t>
        </is>
      </c>
      <c r="B131" s="205" t="n"/>
      <c r="C131" s="205" t="n">
        <v>3267.66666666667</v>
      </c>
      <c r="D131" s="205" t="n"/>
      <c r="E131" s="206" t="n">
        <v>3267.66666666667</v>
      </c>
    </row>
    <row r="132" ht="14.25" customHeight="1" s="113">
      <c r="A132" s="204" t="inlineStr">
        <is>
          <t>Total PSA</t>
        </is>
      </c>
      <c r="B132" s="205" t="n"/>
      <c r="C132" s="205" t="n">
        <v>2875.33333333333</v>
      </c>
      <c r="D132" s="205" t="n"/>
      <c r="E132" s="206" t="n">
        <v>2875.33333333333</v>
      </c>
    </row>
    <row r="133" ht="14.25" customHeight="1" s="113">
      <c r="A133" s="204" t="inlineStr">
        <is>
          <t>TPRO2</t>
        </is>
      </c>
      <c r="B133" s="205" t="n">
        <v>11518</v>
      </c>
      <c r="C133" s="205" t="n"/>
      <c r="D133" s="205" t="n"/>
      <c r="E133" s="206" t="n">
        <v>11518</v>
      </c>
    </row>
    <row r="134" ht="14.25" customHeight="1" s="113">
      <c r="A134" s="204" t="inlineStr">
        <is>
          <t>Transf</t>
        </is>
      </c>
      <c r="B134" s="205" t="n">
        <v>1419.33333333333</v>
      </c>
      <c r="C134" s="205" t="n"/>
      <c r="D134" s="205" t="n"/>
      <c r="E134" s="206" t="n">
        <v>1419.33333333333</v>
      </c>
    </row>
    <row r="135" ht="14.25" customHeight="1" s="113">
      <c r="A135" s="204" t="inlineStr">
        <is>
          <t>Trig2</t>
        </is>
      </c>
      <c r="B135" s="205" t="n">
        <v>8960.33333333333</v>
      </c>
      <c r="C135" s="205" t="n"/>
      <c r="D135" s="205" t="n"/>
      <c r="E135" s="206" t="n">
        <v>8960.33333333333</v>
      </c>
    </row>
    <row r="136" ht="14.25" customHeight="1" s="113">
      <c r="A136" s="204" t="inlineStr">
        <is>
          <t>TSH</t>
        </is>
      </c>
      <c r="B136" s="205" t="n"/>
      <c r="C136" s="205" t="n">
        <v>5621.66666666667</v>
      </c>
      <c r="D136" s="205" t="n"/>
      <c r="E136" s="206" t="n">
        <v>5621.66666666667</v>
      </c>
    </row>
    <row r="137" ht="14.25" customHeight="1" s="113">
      <c r="A137" s="204" t="inlineStr">
        <is>
          <t>U/CSF Prot</t>
        </is>
      </c>
      <c r="B137" s="205" t="n">
        <v>351</v>
      </c>
      <c r="C137" s="205" t="n"/>
      <c r="D137" s="205" t="n"/>
      <c r="E137" s="206" t="n">
        <v>351</v>
      </c>
    </row>
    <row r="138" ht="14.25" customHeight="1" s="113">
      <c r="A138" s="204" t="inlineStr">
        <is>
          <t>Ultra HDL</t>
        </is>
      </c>
      <c r="B138" s="205" t="n">
        <v>8045</v>
      </c>
      <c r="C138" s="205" t="n"/>
      <c r="D138" s="205" t="n"/>
      <c r="E138" s="206" t="n">
        <v>8045</v>
      </c>
    </row>
    <row r="139" ht="14.25" customHeight="1" s="113">
      <c r="A139" s="204" t="inlineStr">
        <is>
          <t>Urea</t>
        </is>
      </c>
      <c r="B139" s="205" t="n">
        <v>13279</v>
      </c>
      <c r="C139" s="205" t="n"/>
      <c r="D139" s="205" t="n"/>
      <c r="E139" s="206" t="n">
        <v>13279</v>
      </c>
    </row>
    <row r="140" ht="14.25" customHeight="1" s="113">
      <c r="A140" s="204" t="inlineStr">
        <is>
          <t>UreaU</t>
        </is>
      </c>
      <c r="B140" s="205" t="n">
        <v>448</v>
      </c>
      <c r="C140" s="205" t="n"/>
      <c r="D140" s="205" t="n"/>
      <c r="E140" s="206" t="n">
        <v>448</v>
      </c>
    </row>
    <row r="141" ht="14.25" customHeight="1" s="113">
      <c r="A141" s="204" t="inlineStr">
        <is>
          <t>Uric2</t>
        </is>
      </c>
      <c r="B141" s="205" t="n">
        <v>6156.33333333333</v>
      </c>
      <c r="C141" s="205" t="n"/>
      <c r="D141" s="205" t="n"/>
      <c r="E141" s="206" t="n">
        <v>6156.33333333333</v>
      </c>
    </row>
    <row r="142" ht="14.25" customHeight="1" s="113">
      <c r="A142" s="204" t="inlineStr">
        <is>
          <t>Uric2-U</t>
        </is>
      </c>
      <c r="B142" s="205" t="n">
        <v>244</v>
      </c>
      <c r="C142" s="205" t="n"/>
      <c r="D142" s="205" t="n"/>
      <c r="E142" s="206" t="n">
        <v>244</v>
      </c>
    </row>
    <row r="143" ht="14.25" customHeight="1" s="113">
      <c r="A143" s="204" t="inlineStr">
        <is>
          <t>Valproic</t>
        </is>
      </c>
      <c r="B143" s="205" t="n">
        <v>169</v>
      </c>
      <c r="C143" s="205" t="n"/>
      <c r="D143" s="205" t="n"/>
      <c r="E143" s="206" t="n">
        <v>169</v>
      </c>
    </row>
    <row r="144" ht="14.25" customHeight="1" s="113">
      <c r="A144" s="204" t="inlineStr">
        <is>
          <t>Vancomycin</t>
        </is>
      </c>
      <c r="B144" s="205" t="n">
        <v>103.333333333333</v>
      </c>
      <c r="C144" s="205" t="n"/>
      <c r="D144" s="205" t="n"/>
      <c r="E144" s="206" t="n">
        <v>103.333333333333</v>
      </c>
    </row>
    <row r="145" ht="14.25" customHeight="1" s="113">
      <c r="A145" s="204" t="inlineStr">
        <is>
          <t>Vit D25OH</t>
        </is>
      </c>
      <c r="B145" s="205" t="n"/>
      <c r="C145" s="205" t="n">
        <v>4695.66666666667</v>
      </c>
      <c r="D145" s="205" t="n"/>
      <c r="E145" s="206" t="n">
        <v>4695.66666666667</v>
      </c>
    </row>
    <row r="146" ht="14.25" customHeight="1" s="113">
      <c r="A146" s="204" t="inlineStr">
        <is>
          <t>VitaminB12</t>
        </is>
      </c>
      <c r="B146" s="205" t="n"/>
      <c r="C146" s="205" t="n">
        <v>1977.66666666667</v>
      </c>
      <c r="D146" s="205" t="n"/>
      <c r="E146" s="206" t="n">
        <v>1977.66666666667</v>
      </c>
    </row>
    <row r="147" ht="14.25" customHeight="1" s="113">
      <c r="A147" s="204" t="inlineStr">
        <is>
          <t>(vuoto)</t>
        </is>
      </c>
      <c r="B147" s="207" t="n"/>
      <c r="C147" s="207" t="n"/>
      <c r="D147" s="207" t="n"/>
      <c r="E147" s="208" t="n"/>
    </row>
    <row r="148" ht="14.25" customHeight="1" s="113">
      <c r="A148" s="209" t="inlineStr">
        <is>
          <t>Totale Risultato</t>
        </is>
      </c>
      <c r="B148" s="210" t="n">
        <v>360059.666666667</v>
      </c>
      <c r="C148" s="210" t="n">
        <v>56757.3333333333</v>
      </c>
      <c r="D148" s="210" t="n"/>
      <c r="E148" s="211" t="n">
        <v>416817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29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13.4765625" defaultRowHeight="12.8" customHeight="0" zeroHeight="0" outlineLevelRow="0"/>
  <sheetData>
    <row r="1" ht="13.8" customHeight="1" s="113">
      <c r="A1" s="109" t="inlineStr">
        <is>
          <t>MODULE_SERIAL</t>
        </is>
      </c>
      <c r="B1" s="109" t="inlineStr">
        <is>
          <t>MODULE_TYPE</t>
        </is>
      </c>
      <c r="C1" s="109" t="inlineStr">
        <is>
          <t>ASSAY_NAME</t>
        </is>
      </c>
      <c r="D1" s="109" t="inlineStr">
        <is>
          <t>ASSAY_NUMBER</t>
        </is>
      </c>
      <c r="E1" s="109" t="inlineStr">
        <is>
          <t>PATIENTS_ATTEMPTED</t>
        </is>
      </c>
      <c r="F1" s="109" t="inlineStr">
        <is>
          <t>PATIENTS_COMPLETED</t>
        </is>
      </c>
      <c r="G1" s="109" t="inlineStr">
        <is>
          <t>PATIENTS_RETESTED</t>
        </is>
      </c>
      <c r="H1" s="109" t="inlineStr">
        <is>
          <t>PATIENTS_DILUTED</t>
        </is>
      </c>
      <c r="I1" s="109" t="inlineStr">
        <is>
          <t>CALIBRATORS_ATTEMPTED</t>
        </is>
      </c>
      <c r="J1" s="109" t="inlineStr">
        <is>
          <t>CONTROLS_ATTEMPTED</t>
        </is>
      </c>
      <c r="K1" s="109" t="inlineStr">
        <is>
          <t>CONTROLS_COMPLETED</t>
        </is>
      </c>
      <c r="L1" s="109" t="inlineStr">
        <is>
          <t>TOTAL_ATTEMPTED</t>
        </is>
      </c>
      <c r="M1" s="109" t="inlineStr">
        <is>
          <t>TOT/MM</t>
        </is>
      </c>
    </row>
    <row r="2" ht="13.8" customHeight="1" s="113">
      <c r="A2" s="109" t="inlineStr">
        <is>
          <t>AC04860</t>
        </is>
      </c>
      <c r="B2" s="109" t="inlineStr">
        <is>
          <t>Alinity c</t>
        </is>
      </c>
      <c r="C2" s="109" t="inlineStr">
        <is>
          <t>a1AGP</t>
        </is>
      </c>
      <c r="D2" s="109" t="n">
        <v>1912</v>
      </c>
      <c r="E2" s="109" t="n">
        <v>41</v>
      </c>
      <c r="F2" s="109" t="n">
        <v>40</v>
      </c>
      <c r="G2" s="109" t="n">
        <v>3</v>
      </c>
      <c r="H2" s="109" t="n">
        <v>2</v>
      </c>
      <c r="I2" s="109" t="n">
        <v>60</v>
      </c>
      <c r="J2" s="109" t="n">
        <v>205</v>
      </c>
      <c r="K2" s="109" t="n">
        <v>195</v>
      </c>
      <c r="L2" s="109" t="n">
        <v>306</v>
      </c>
      <c r="M2" s="109" t="n">
        <v>102</v>
      </c>
    </row>
    <row r="3" ht="13.8" customHeight="1" s="113">
      <c r="A3" s="109" t="inlineStr">
        <is>
          <t>AC04860</t>
        </is>
      </c>
      <c r="B3" s="109" t="inlineStr">
        <is>
          <t>Alinity c</t>
        </is>
      </c>
      <c r="C3" s="109" t="inlineStr">
        <is>
          <t>a1AT</t>
        </is>
      </c>
      <c r="D3" s="109" t="n">
        <v>1901</v>
      </c>
      <c r="E3" s="109" t="n">
        <v>120</v>
      </c>
      <c r="F3" s="109" t="n">
        <v>112</v>
      </c>
      <c r="G3" s="109" t="n">
        <v>5</v>
      </c>
      <c r="H3" s="109" t="n">
        <v>0</v>
      </c>
      <c r="I3" s="109" t="n">
        <v>36</v>
      </c>
      <c r="J3" s="109" t="n">
        <v>200</v>
      </c>
      <c r="K3" s="109" t="n">
        <v>190</v>
      </c>
      <c r="L3" s="109" t="n">
        <v>356</v>
      </c>
      <c r="M3" s="109" t="n">
        <v>118.666666666667</v>
      </c>
    </row>
    <row r="4" ht="13.8" customHeight="1" s="113">
      <c r="A4" s="109" t="inlineStr">
        <is>
          <t>AC04860</t>
        </is>
      </c>
      <c r="B4" s="109" t="inlineStr">
        <is>
          <t>Alinity c</t>
        </is>
      </c>
      <c r="C4" s="109" t="inlineStr">
        <is>
          <t>A-ALT</t>
        </is>
      </c>
      <c r="D4" s="109" t="n">
        <v>1032</v>
      </c>
      <c r="E4" s="109" t="n">
        <v>16189</v>
      </c>
      <c r="F4" s="109" t="n">
        <v>13756</v>
      </c>
      <c r="G4" s="109" t="n">
        <v>1947</v>
      </c>
      <c r="H4" s="109" t="n">
        <v>22</v>
      </c>
      <c r="I4" s="109" t="n">
        <v>24</v>
      </c>
      <c r="J4" s="109" t="n">
        <v>422</v>
      </c>
      <c r="K4" s="109" t="n">
        <v>390</v>
      </c>
      <c r="L4" s="109" t="n">
        <v>16635</v>
      </c>
      <c r="M4" s="109" t="n">
        <v>5545</v>
      </c>
    </row>
    <row r="5" ht="13.8" customHeight="1" s="113">
      <c r="A5" s="109" t="inlineStr">
        <is>
          <t>AC04860</t>
        </is>
      </c>
      <c r="B5" s="109" t="inlineStr">
        <is>
          <t>Alinity c</t>
        </is>
      </c>
      <c r="C5" s="109" t="inlineStr">
        <is>
          <t>A-ALT</t>
        </is>
      </c>
      <c r="D5" s="109" t="n">
        <v>1032</v>
      </c>
      <c r="E5" s="109" t="n">
        <v>11832</v>
      </c>
      <c r="F5" s="109" t="n">
        <v>11362</v>
      </c>
      <c r="G5" s="109" t="n">
        <v>386</v>
      </c>
      <c r="H5" s="109" t="n">
        <v>67</v>
      </c>
      <c r="I5" s="109" t="n">
        <v>15</v>
      </c>
      <c r="J5" s="109" t="n">
        <v>355</v>
      </c>
      <c r="K5" s="109" t="n">
        <v>337</v>
      </c>
      <c r="L5" s="109" t="n">
        <v>12202</v>
      </c>
      <c r="M5" s="109" t="n">
        <v>4067.33333333333</v>
      </c>
    </row>
    <row r="6" ht="13.8" customHeight="1" s="113">
      <c r="A6" s="109" t="inlineStr">
        <is>
          <t>AC04860</t>
        </is>
      </c>
      <c r="B6" s="109" t="inlineStr">
        <is>
          <t>Alinity c</t>
        </is>
      </c>
      <c r="C6" s="109" t="inlineStr">
        <is>
          <t>A-ALT</t>
        </is>
      </c>
      <c r="D6" s="109" t="n">
        <v>1032</v>
      </c>
      <c r="E6" s="109" t="n">
        <v>16759</v>
      </c>
      <c r="F6" s="109" t="n">
        <v>14861</v>
      </c>
      <c r="G6" s="109" t="n">
        <v>1412</v>
      </c>
      <c r="H6" s="109" t="n">
        <v>50</v>
      </c>
      <c r="I6" s="109" t="n">
        <v>15</v>
      </c>
      <c r="J6" s="109" t="n">
        <v>373</v>
      </c>
      <c r="K6" s="109" t="n">
        <v>361</v>
      </c>
      <c r="L6" s="109" t="n">
        <v>17147</v>
      </c>
      <c r="M6" s="109" t="n">
        <v>5715.66666666667</v>
      </c>
    </row>
    <row r="7" ht="13.8" customHeight="1" s="113">
      <c r="A7" s="109" t="inlineStr">
        <is>
          <t>AC04860</t>
        </is>
      </c>
      <c r="B7" s="109" t="inlineStr">
        <is>
          <t>Alinity c</t>
        </is>
      </c>
      <c r="C7" s="109" t="inlineStr">
        <is>
          <t>A-AST</t>
        </is>
      </c>
      <c r="D7" s="109" t="n">
        <v>1046</v>
      </c>
      <c r="E7" s="109" t="n">
        <v>14698</v>
      </c>
      <c r="F7" s="109" t="n">
        <v>12646</v>
      </c>
      <c r="G7" s="109" t="n">
        <v>1620</v>
      </c>
      <c r="H7" s="109" t="n">
        <v>1</v>
      </c>
      <c r="I7" s="109" t="n">
        <v>15</v>
      </c>
      <c r="J7" s="109" t="n">
        <v>388</v>
      </c>
      <c r="K7" s="109" t="n">
        <v>357</v>
      </c>
      <c r="L7" s="109" t="n">
        <v>15101</v>
      </c>
      <c r="M7" s="109" t="n">
        <v>5033.66666666667</v>
      </c>
    </row>
    <row r="8" ht="13.8" customHeight="1" s="113">
      <c r="A8" s="109" t="inlineStr">
        <is>
          <t>AC04860</t>
        </is>
      </c>
      <c r="B8" s="109" t="inlineStr">
        <is>
          <t>Alinity c</t>
        </is>
      </c>
      <c r="C8" s="109" t="inlineStr">
        <is>
          <t>A-AST</t>
        </is>
      </c>
      <c r="D8" s="109" t="n">
        <v>1046</v>
      </c>
      <c r="E8" s="109" t="n">
        <v>11492</v>
      </c>
      <c r="F8" s="109" t="n">
        <v>11020</v>
      </c>
      <c r="G8" s="109" t="n">
        <v>374</v>
      </c>
      <c r="H8" s="109" t="n">
        <v>8</v>
      </c>
      <c r="I8" s="109" t="n">
        <v>18</v>
      </c>
      <c r="J8" s="109" t="n">
        <v>344</v>
      </c>
      <c r="K8" s="109" t="n">
        <v>325</v>
      </c>
      <c r="L8" s="109" t="n">
        <v>11854</v>
      </c>
      <c r="M8" s="109" t="n">
        <v>3951.33333333333</v>
      </c>
    </row>
    <row r="9" ht="13.8" customHeight="1" s="113">
      <c r="A9" s="109" t="inlineStr">
        <is>
          <t>AC04860</t>
        </is>
      </c>
      <c r="B9" s="109" t="inlineStr">
        <is>
          <t>Alinity c</t>
        </is>
      </c>
      <c r="C9" s="109" t="inlineStr">
        <is>
          <t>A-AST</t>
        </is>
      </c>
      <c r="D9" s="109" t="n">
        <v>1046</v>
      </c>
      <c r="E9" s="109" t="n">
        <v>15362</v>
      </c>
      <c r="F9" s="109" t="n">
        <v>13739</v>
      </c>
      <c r="G9" s="109" t="n">
        <v>1191</v>
      </c>
      <c r="H9" s="109" t="n">
        <v>10</v>
      </c>
      <c r="I9" s="109" t="n">
        <v>15</v>
      </c>
      <c r="J9" s="109" t="n">
        <v>353</v>
      </c>
      <c r="K9" s="109" t="n">
        <v>342</v>
      </c>
      <c r="L9" s="109" t="n">
        <v>15730</v>
      </c>
      <c r="M9" s="109" t="n">
        <v>5243.33333333333</v>
      </c>
    </row>
    <row r="10" ht="13.8" customHeight="1" s="113">
      <c r="A10" s="109" t="inlineStr">
        <is>
          <t>AI22529</t>
        </is>
      </c>
      <c r="B10" s="109" t="inlineStr">
        <is>
          <t>Alinity i</t>
        </is>
      </c>
      <c r="C10" s="109" t="inlineStr">
        <is>
          <t>AFP</t>
        </is>
      </c>
      <c r="D10" s="109" t="n">
        <v>10</v>
      </c>
      <c r="E10" s="109" t="n">
        <v>781</v>
      </c>
      <c r="F10" s="109" t="n">
        <v>686</v>
      </c>
      <c r="G10" s="109" t="n">
        <v>57</v>
      </c>
      <c r="H10" s="109" t="n">
        <v>5</v>
      </c>
      <c r="I10" s="109" t="n">
        <v>24</v>
      </c>
      <c r="J10" s="109" t="n">
        <v>371</v>
      </c>
      <c r="K10" s="109" t="n">
        <v>291</v>
      </c>
      <c r="L10" s="109" t="n">
        <v>1176</v>
      </c>
      <c r="M10" s="109" t="n">
        <v>392</v>
      </c>
    </row>
    <row r="11" ht="13.8" customHeight="1" s="113">
      <c r="A11" s="109" t="inlineStr">
        <is>
          <t>AC04860</t>
        </is>
      </c>
      <c r="B11" s="109" t="inlineStr">
        <is>
          <t>Alinity c</t>
        </is>
      </c>
      <c r="C11" s="109" t="inlineStr">
        <is>
          <t>AlbBCG2</t>
        </is>
      </c>
      <c r="D11" s="109" t="n">
        <v>1400</v>
      </c>
      <c r="E11" s="109" t="n">
        <v>1130</v>
      </c>
      <c r="F11" s="109" t="n">
        <v>1001</v>
      </c>
      <c r="G11" s="109" t="n">
        <v>104</v>
      </c>
      <c r="H11" s="109" t="n">
        <v>0</v>
      </c>
      <c r="I11" s="109" t="n">
        <v>18</v>
      </c>
      <c r="J11" s="109" t="n">
        <v>221</v>
      </c>
      <c r="K11" s="109" t="n">
        <v>204</v>
      </c>
      <c r="L11" s="109" t="n">
        <v>1369</v>
      </c>
      <c r="M11" s="109" t="n">
        <v>456.333333333333</v>
      </c>
    </row>
    <row r="12" ht="13.8" customHeight="1" s="113">
      <c r="A12" s="109" t="inlineStr">
        <is>
          <t>AC04860</t>
        </is>
      </c>
      <c r="B12" s="109" t="inlineStr">
        <is>
          <t>Alinity c</t>
        </is>
      </c>
      <c r="C12" s="109" t="inlineStr">
        <is>
          <t>AlbBCG2</t>
        </is>
      </c>
      <c r="D12" s="109" t="n">
        <v>1400</v>
      </c>
      <c r="E12" s="109" t="n">
        <v>1375</v>
      </c>
      <c r="F12" s="109" t="n">
        <v>1314</v>
      </c>
      <c r="G12" s="109" t="n">
        <v>58</v>
      </c>
      <c r="H12" s="109" t="n">
        <v>0</v>
      </c>
      <c r="I12" s="109" t="n">
        <v>24</v>
      </c>
      <c r="J12" s="109" t="n">
        <v>182</v>
      </c>
      <c r="K12" s="109" t="n">
        <v>176</v>
      </c>
      <c r="L12" s="109" t="n">
        <v>1581</v>
      </c>
      <c r="M12" s="109" t="n">
        <v>527</v>
      </c>
    </row>
    <row r="13" ht="13.8" customHeight="1" s="113">
      <c r="A13" s="109" t="inlineStr">
        <is>
          <t>AC04860</t>
        </is>
      </c>
      <c r="B13" s="109" t="inlineStr">
        <is>
          <t>Alinity c</t>
        </is>
      </c>
      <c r="C13" s="109" t="inlineStr">
        <is>
          <t>AlbBCG2</t>
        </is>
      </c>
      <c r="D13" s="109" t="n">
        <v>1400</v>
      </c>
      <c r="E13" s="109" t="n">
        <v>1127</v>
      </c>
      <c r="F13" s="109" t="n">
        <v>1002</v>
      </c>
      <c r="G13" s="109" t="n">
        <v>94</v>
      </c>
      <c r="H13" s="109" t="n">
        <v>0</v>
      </c>
      <c r="I13" s="109" t="n">
        <v>24</v>
      </c>
      <c r="J13" s="109" t="n">
        <v>216</v>
      </c>
      <c r="K13" s="109" t="n">
        <v>211</v>
      </c>
      <c r="L13" s="109" t="n">
        <v>1367</v>
      </c>
      <c r="M13" s="109" t="n">
        <v>455.666666666667</v>
      </c>
    </row>
    <row r="14" ht="13.8" customHeight="1" s="113">
      <c r="A14" s="109" t="inlineStr">
        <is>
          <t>AC04860</t>
        </is>
      </c>
      <c r="B14" s="109" t="inlineStr">
        <is>
          <t>Alinity c</t>
        </is>
      </c>
      <c r="C14" s="109" t="inlineStr">
        <is>
          <t>AlkP2F</t>
        </is>
      </c>
      <c r="D14" s="109" t="n">
        <v>1449</v>
      </c>
      <c r="E14" s="109" t="n">
        <v>4308</v>
      </c>
      <c r="F14" s="109" t="n">
        <v>3791</v>
      </c>
      <c r="G14" s="109" t="n">
        <v>370</v>
      </c>
      <c r="H14" s="109" t="n">
        <v>0</v>
      </c>
      <c r="I14" s="109" t="n">
        <v>33</v>
      </c>
      <c r="J14" s="109" t="n">
        <v>321</v>
      </c>
      <c r="K14" s="109" t="n">
        <v>297</v>
      </c>
      <c r="L14" s="109" t="n">
        <v>4662</v>
      </c>
      <c r="M14" s="109" t="n">
        <v>1554</v>
      </c>
    </row>
    <row r="15" ht="13.8" customHeight="1" s="113">
      <c r="A15" s="109" t="inlineStr">
        <is>
          <t>AC04860</t>
        </is>
      </c>
      <c r="B15" s="109" t="inlineStr">
        <is>
          <t>Alinity c</t>
        </is>
      </c>
      <c r="C15" s="109" t="inlineStr">
        <is>
          <t>AlkP2F</t>
        </is>
      </c>
      <c r="D15" s="109" t="n">
        <v>1449</v>
      </c>
      <c r="E15" s="109" t="n">
        <v>1247</v>
      </c>
      <c r="F15" s="109" t="n">
        <v>1207</v>
      </c>
      <c r="G15" s="109" t="n">
        <v>26</v>
      </c>
      <c r="H15" s="109" t="n">
        <v>0</v>
      </c>
      <c r="I15" s="109" t="n">
        <v>36</v>
      </c>
      <c r="J15" s="109" t="n">
        <v>234</v>
      </c>
      <c r="K15" s="109" t="n">
        <v>219</v>
      </c>
      <c r="L15" s="109" t="n">
        <v>1517</v>
      </c>
      <c r="M15" s="109" t="n">
        <v>505.666666666667</v>
      </c>
    </row>
    <row r="16" ht="13.8" customHeight="1" s="113">
      <c r="A16" s="109" t="inlineStr">
        <is>
          <t>AC04860</t>
        </is>
      </c>
      <c r="B16" s="109" t="inlineStr">
        <is>
          <t>Alinity c</t>
        </is>
      </c>
      <c r="C16" s="109" t="inlineStr">
        <is>
          <t>AlkP2F</t>
        </is>
      </c>
      <c r="D16" s="109" t="n">
        <v>1449</v>
      </c>
      <c r="E16" s="109" t="n">
        <v>4032</v>
      </c>
      <c r="F16" s="109" t="n">
        <v>3532</v>
      </c>
      <c r="G16" s="109" t="n">
        <v>351</v>
      </c>
      <c r="H16" s="109" t="n">
        <v>0</v>
      </c>
      <c r="I16" s="109" t="n">
        <v>33</v>
      </c>
      <c r="J16" s="109" t="n">
        <v>280</v>
      </c>
      <c r="K16" s="109" t="n">
        <v>270</v>
      </c>
      <c r="L16" s="109" t="n">
        <v>4345</v>
      </c>
      <c r="M16" s="109" t="n">
        <v>1448.33333333333</v>
      </c>
    </row>
    <row r="17" ht="13.8" customHeight="1" s="113">
      <c r="A17" s="109" t="inlineStr">
        <is>
          <t>AC04860</t>
        </is>
      </c>
      <c r="B17" s="109" t="inlineStr">
        <is>
          <t>Alinity c</t>
        </is>
      </c>
      <c r="C17" s="109" t="inlineStr">
        <is>
          <t>Ammonia</t>
        </is>
      </c>
      <c r="D17" s="109" t="n">
        <v>1969</v>
      </c>
      <c r="E17" s="109" t="n">
        <v>101</v>
      </c>
      <c r="F17" s="109" t="n">
        <v>85</v>
      </c>
      <c r="G17" s="109" t="n">
        <v>13</v>
      </c>
      <c r="H17" s="109" t="n">
        <v>8</v>
      </c>
      <c r="I17" s="109" t="n">
        <v>546</v>
      </c>
      <c r="J17" s="109" t="n">
        <v>250</v>
      </c>
      <c r="K17" s="109" t="n">
        <v>246</v>
      </c>
      <c r="L17" s="109" t="n">
        <v>897</v>
      </c>
      <c r="M17" s="109" t="n">
        <v>299</v>
      </c>
    </row>
    <row r="18" ht="13.8" customHeight="1" s="113">
      <c r="A18" s="109" t="inlineStr">
        <is>
          <t>AC04860</t>
        </is>
      </c>
      <c r="B18" s="109" t="inlineStr">
        <is>
          <t>Alinity c</t>
        </is>
      </c>
      <c r="C18" s="109" t="inlineStr">
        <is>
          <t>Ammonia</t>
        </is>
      </c>
      <c r="D18" s="109" t="n">
        <v>1969</v>
      </c>
      <c r="E18" s="109" t="n">
        <v>1</v>
      </c>
      <c r="F18" s="109" t="n">
        <v>1</v>
      </c>
      <c r="G18" s="109" t="n">
        <v>1</v>
      </c>
      <c r="H18" s="109" t="n">
        <v>0</v>
      </c>
      <c r="I18" s="109" t="n">
        <v>6</v>
      </c>
      <c r="J18" s="109" t="n">
        <v>2</v>
      </c>
      <c r="K18" s="109" t="n">
        <v>2</v>
      </c>
      <c r="L18" s="109" t="n">
        <v>9</v>
      </c>
      <c r="M18" s="109" t="n">
        <v>3</v>
      </c>
    </row>
    <row r="19" ht="13.8" customHeight="1" s="113">
      <c r="A19" s="109" t="inlineStr">
        <is>
          <t>AC04860</t>
        </is>
      </c>
      <c r="B19" s="109" t="inlineStr">
        <is>
          <t>Alinity c</t>
        </is>
      </c>
      <c r="C19" s="109" t="inlineStr">
        <is>
          <t>AmpSQ</t>
        </is>
      </c>
      <c r="D19" s="109" t="n">
        <v>1848</v>
      </c>
      <c r="E19" s="109" t="n">
        <v>715</v>
      </c>
      <c r="F19" s="109" t="n">
        <v>707</v>
      </c>
      <c r="G19" s="109" t="n">
        <v>9</v>
      </c>
      <c r="H19" s="109" t="n">
        <v>0</v>
      </c>
      <c r="I19" s="109" t="n">
        <v>70</v>
      </c>
      <c r="J19" s="109" t="n">
        <v>203</v>
      </c>
      <c r="K19" s="109" t="n">
        <v>196</v>
      </c>
      <c r="L19" s="109" t="n">
        <v>988</v>
      </c>
      <c r="M19" s="109" t="n">
        <v>329.333333333333</v>
      </c>
    </row>
    <row r="20" ht="13.8" customHeight="1" s="113">
      <c r="A20" s="109" t="inlineStr">
        <is>
          <t>AC04860</t>
        </is>
      </c>
      <c r="B20" s="109" t="inlineStr">
        <is>
          <t>Alinity c</t>
        </is>
      </c>
      <c r="C20" s="109" t="inlineStr">
        <is>
          <t>AmpSQ</t>
        </is>
      </c>
      <c r="D20" s="109" t="n">
        <v>1848</v>
      </c>
      <c r="E20" s="109" t="n">
        <v>13</v>
      </c>
      <c r="F20" s="109" t="n">
        <v>13</v>
      </c>
      <c r="G20" s="109" t="n">
        <v>0</v>
      </c>
      <c r="H20" s="109" t="n">
        <v>0</v>
      </c>
      <c r="I20" s="109" t="n">
        <v>20</v>
      </c>
      <c r="J20" s="109" t="n">
        <v>4</v>
      </c>
      <c r="K20" s="109" t="n">
        <v>4</v>
      </c>
      <c r="L20" s="109" t="n">
        <v>37</v>
      </c>
      <c r="M20" s="109" t="n">
        <v>12.3333333333333</v>
      </c>
    </row>
    <row r="21" ht="13.8" customHeight="1" s="113">
      <c r="A21" s="109" t="inlineStr">
        <is>
          <t>AC04860</t>
        </is>
      </c>
      <c r="B21" s="109" t="inlineStr">
        <is>
          <t>Alinity c</t>
        </is>
      </c>
      <c r="C21" s="109" t="inlineStr">
        <is>
          <t>AMY2F</t>
        </is>
      </c>
      <c r="D21" s="109" t="n">
        <v>1413</v>
      </c>
      <c r="E21" s="109" t="n">
        <v>1436</v>
      </c>
      <c r="F21" s="109" t="n">
        <v>1228</v>
      </c>
      <c r="G21" s="109" t="n">
        <v>184</v>
      </c>
      <c r="H21" s="109" t="n">
        <v>0</v>
      </c>
      <c r="I21" s="109" t="n">
        <v>9</v>
      </c>
      <c r="J21" s="109" t="n">
        <v>276</v>
      </c>
      <c r="K21" s="109" t="n">
        <v>258</v>
      </c>
      <c r="L21" s="109" t="n">
        <v>1721</v>
      </c>
      <c r="M21" s="109" t="n">
        <v>573.666666666667</v>
      </c>
    </row>
    <row r="22" ht="13.8" customHeight="1" s="113">
      <c r="A22" s="109" t="inlineStr">
        <is>
          <t>AC04860</t>
        </is>
      </c>
      <c r="B22" s="109" t="inlineStr">
        <is>
          <t>Alinity c</t>
        </is>
      </c>
      <c r="C22" s="109" t="inlineStr">
        <is>
          <t>AMY2F</t>
        </is>
      </c>
      <c r="D22" s="109" t="n">
        <v>1413</v>
      </c>
      <c r="E22" s="109" t="n">
        <v>391</v>
      </c>
      <c r="F22" s="109" t="n">
        <v>376</v>
      </c>
      <c r="G22" s="109" t="n">
        <v>10</v>
      </c>
      <c r="H22" s="109" t="n">
        <v>0</v>
      </c>
      <c r="I22" s="109" t="n">
        <v>12</v>
      </c>
      <c r="J22" s="109" t="n">
        <v>211</v>
      </c>
      <c r="K22" s="109" t="n">
        <v>199</v>
      </c>
      <c r="L22" s="109" t="n">
        <v>614</v>
      </c>
      <c r="M22" s="109" t="n">
        <v>204.666666666667</v>
      </c>
    </row>
    <row r="23" ht="13.8" customHeight="1" s="113">
      <c r="A23" s="109" t="inlineStr">
        <is>
          <t>AC04860</t>
        </is>
      </c>
      <c r="B23" s="109" t="inlineStr">
        <is>
          <t>Alinity c</t>
        </is>
      </c>
      <c r="C23" s="109" t="inlineStr">
        <is>
          <t>AMY2F</t>
        </is>
      </c>
      <c r="D23" s="109" t="n">
        <v>1413</v>
      </c>
      <c r="E23" s="109" t="n">
        <v>1361</v>
      </c>
      <c r="F23" s="109" t="n">
        <v>1206</v>
      </c>
      <c r="G23" s="109" t="n">
        <v>105</v>
      </c>
      <c r="H23" s="109" t="n">
        <v>0</v>
      </c>
      <c r="I23" s="109" t="n">
        <v>9</v>
      </c>
      <c r="J23" s="109" t="n">
        <v>226</v>
      </c>
      <c r="K23" s="109" t="n">
        <v>216</v>
      </c>
      <c r="L23" s="109" t="n">
        <v>1596</v>
      </c>
      <c r="M23" s="109" t="n">
        <v>532</v>
      </c>
    </row>
    <row r="24" ht="13.8" customHeight="1" s="113">
      <c r="A24" s="109" t="inlineStr">
        <is>
          <t>AC04860</t>
        </is>
      </c>
      <c r="B24" s="109" t="inlineStr">
        <is>
          <t>Alinity c</t>
        </is>
      </c>
      <c r="C24" s="109" t="inlineStr">
        <is>
          <t>AMY2-UF</t>
        </is>
      </c>
      <c r="D24" s="109" t="n">
        <v>1415</v>
      </c>
      <c r="E24" s="109" t="n">
        <v>1</v>
      </c>
      <c r="F24" s="109" t="n">
        <v>1</v>
      </c>
      <c r="G24" s="109" t="n">
        <v>0</v>
      </c>
      <c r="H24" s="109" t="n">
        <v>0</v>
      </c>
      <c r="I24" s="109" t="n">
        <v>0</v>
      </c>
      <c r="J24" s="109" t="n">
        <v>239</v>
      </c>
      <c r="K24" s="109" t="n">
        <v>224</v>
      </c>
      <c r="L24" s="109" t="n">
        <v>240</v>
      </c>
      <c r="M24" s="109" t="n">
        <v>80</v>
      </c>
    </row>
    <row r="25" ht="13.8" customHeight="1" s="113">
      <c r="A25" s="109" t="inlineStr">
        <is>
          <t>AC04860</t>
        </is>
      </c>
      <c r="B25" s="109" t="inlineStr">
        <is>
          <t>Alinity c</t>
        </is>
      </c>
      <c r="C25" s="109" t="inlineStr">
        <is>
          <t>AMY2-UF</t>
        </is>
      </c>
      <c r="D25" s="109" t="n">
        <v>1415</v>
      </c>
      <c r="E25" s="109" t="n">
        <v>1</v>
      </c>
      <c r="F25" s="109" t="n">
        <v>1</v>
      </c>
      <c r="G25" s="109" t="n">
        <v>0</v>
      </c>
      <c r="H25" s="109" t="n">
        <v>0</v>
      </c>
      <c r="I25" s="109" t="n">
        <v>0</v>
      </c>
      <c r="J25" s="109" t="n">
        <v>175</v>
      </c>
      <c r="K25" s="109" t="n">
        <v>169</v>
      </c>
      <c r="L25" s="109" t="n">
        <v>176</v>
      </c>
      <c r="M25" s="109" t="n">
        <v>58.6666666666667</v>
      </c>
    </row>
    <row r="26" ht="13.8" customHeight="1" s="113">
      <c r="A26" s="109" t="inlineStr">
        <is>
          <t>AC04860</t>
        </is>
      </c>
      <c r="B26" s="109" t="inlineStr">
        <is>
          <t>Alinity c</t>
        </is>
      </c>
      <c r="C26" s="109" t="inlineStr">
        <is>
          <t>AMY2-UF</t>
        </is>
      </c>
      <c r="D26" s="109" t="n">
        <v>1415</v>
      </c>
      <c r="E26" s="109" t="n">
        <v>0</v>
      </c>
      <c r="F26" s="109" t="n">
        <v>0</v>
      </c>
      <c r="G26" s="109" t="n">
        <v>0</v>
      </c>
      <c r="H26" s="109" t="n">
        <v>0</v>
      </c>
      <c r="I26" s="109" t="n">
        <v>0</v>
      </c>
      <c r="J26" s="109" t="n">
        <v>194</v>
      </c>
      <c r="K26" s="109" t="n">
        <v>187</v>
      </c>
      <c r="L26" s="109" t="n">
        <v>194</v>
      </c>
      <c r="M26" s="109" t="n">
        <v>64.6666666666667</v>
      </c>
    </row>
    <row r="27" ht="13.8" customHeight="1" s="113">
      <c r="A27" s="109" t="inlineStr">
        <is>
          <t>AI22529</t>
        </is>
      </c>
      <c r="B27" s="109" t="inlineStr">
        <is>
          <t>Alinity i</t>
        </is>
      </c>
      <c r="C27" s="109" t="inlineStr">
        <is>
          <t>Anti-HBc</t>
        </is>
      </c>
      <c r="D27" s="109" t="n">
        <v>729</v>
      </c>
      <c r="E27" s="109" t="n">
        <v>1284</v>
      </c>
      <c r="F27" s="109" t="n">
        <v>1246</v>
      </c>
      <c r="G27" s="109" t="n">
        <v>38</v>
      </c>
      <c r="H27" s="109" t="n">
        <v>0</v>
      </c>
      <c r="I27" s="109" t="n">
        <v>9</v>
      </c>
      <c r="J27" s="109" t="n">
        <v>252</v>
      </c>
      <c r="K27" s="109" t="n">
        <v>224</v>
      </c>
      <c r="L27" s="109" t="n">
        <v>1545</v>
      </c>
      <c r="M27" s="109" t="n">
        <v>515</v>
      </c>
    </row>
    <row r="28" ht="13.8" customHeight="1" s="113">
      <c r="A28" s="109" t="inlineStr">
        <is>
          <t>AI22529</t>
        </is>
      </c>
      <c r="B28" s="109" t="inlineStr">
        <is>
          <t>Alinity i</t>
        </is>
      </c>
      <c r="C28" s="109" t="inlineStr">
        <is>
          <t>Anti-HBc M</t>
        </is>
      </c>
      <c r="D28" s="109" t="n">
        <v>328</v>
      </c>
      <c r="E28" s="109" t="n">
        <v>991</v>
      </c>
      <c r="F28" s="109" t="n">
        <v>951</v>
      </c>
      <c r="G28" s="109" t="n">
        <v>38</v>
      </c>
      <c r="H28" s="109" t="n">
        <v>0</v>
      </c>
      <c r="I28" s="109" t="n">
        <v>6</v>
      </c>
      <c r="J28" s="109" t="n">
        <v>256</v>
      </c>
      <c r="K28" s="109" t="n">
        <v>245</v>
      </c>
      <c r="L28" s="109" t="n">
        <v>1253</v>
      </c>
      <c r="M28" s="109" t="n">
        <v>417.666666666667</v>
      </c>
    </row>
    <row r="29" ht="13.8" customHeight="1" s="113">
      <c r="A29" s="109" t="inlineStr">
        <is>
          <t>AI22529</t>
        </is>
      </c>
      <c r="B29" s="109" t="inlineStr">
        <is>
          <t>Alinity i</t>
        </is>
      </c>
      <c r="C29" s="109" t="inlineStr">
        <is>
          <t>Anti-HBe</t>
        </is>
      </c>
      <c r="D29" s="109" t="n">
        <v>309</v>
      </c>
      <c r="E29" s="109" t="n">
        <v>997</v>
      </c>
      <c r="F29" s="109" t="n">
        <v>974</v>
      </c>
      <c r="G29" s="109" t="n">
        <v>26</v>
      </c>
      <c r="H29" s="109" t="n">
        <v>0</v>
      </c>
      <c r="I29" s="109" t="n">
        <v>6</v>
      </c>
      <c r="J29" s="109" t="n">
        <v>246</v>
      </c>
      <c r="K29" s="109" t="n">
        <v>223</v>
      </c>
      <c r="L29" s="109" t="n">
        <v>1249</v>
      </c>
      <c r="M29" s="109" t="n">
        <v>416.333333333333</v>
      </c>
    </row>
    <row r="30" ht="13.8" customHeight="1" s="113">
      <c r="A30" s="109" t="inlineStr">
        <is>
          <t>AI22529</t>
        </is>
      </c>
      <c r="B30" s="109" t="inlineStr">
        <is>
          <t>Alinity i</t>
        </is>
      </c>
      <c r="C30" s="109" t="inlineStr">
        <is>
          <t>AntiHBsdil</t>
        </is>
      </c>
      <c r="D30" s="109" t="n">
        <v>693</v>
      </c>
      <c r="E30" s="109" t="n">
        <v>1482</v>
      </c>
      <c r="F30" s="109" t="n">
        <v>1414</v>
      </c>
      <c r="G30" s="109" t="n">
        <v>123</v>
      </c>
      <c r="H30" s="109" t="n">
        <v>109</v>
      </c>
      <c r="I30" s="109" t="n">
        <v>24</v>
      </c>
      <c r="J30" s="109" t="n">
        <v>258</v>
      </c>
      <c r="K30" s="109" t="n">
        <v>250</v>
      </c>
      <c r="L30" s="109" t="n">
        <v>1764</v>
      </c>
      <c r="M30" s="109" t="n">
        <v>588</v>
      </c>
    </row>
    <row r="31" ht="13.8" customHeight="1" s="113">
      <c r="A31" s="109" t="inlineStr">
        <is>
          <t>AI22529</t>
        </is>
      </c>
      <c r="B31" s="109" t="inlineStr">
        <is>
          <t>Alinity i</t>
        </is>
      </c>
      <c r="C31" s="109" t="inlineStr">
        <is>
          <t>AntiHBsdil</t>
        </is>
      </c>
      <c r="D31" s="109" t="n">
        <v>693</v>
      </c>
      <c r="E31" s="109" t="n">
        <v>1954</v>
      </c>
      <c r="F31" s="109" t="n">
        <v>1804</v>
      </c>
      <c r="G31" s="109" t="n">
        <v>216</v>
      </c>
      <c r="H31" s="109" t="n">
        <v>110</v>
      </c>
      <c r="I31" s="109" t="n">
        <v>24</v>
      </c>
      <c r="J31" s="109" t="n">
        <v>261</v>
      </c>
      <c r="K31" s="109" t="n">
        <v>248</v>
      </c>
      <c r="L31" s="109" t="n">
        <v>2239</v>
      </c>
      <c r="M31" s="109" t="n">
        <v>746.333333333333</v>
      </c>
    </row>
    <row r="32" ht="13.8" customHeight="1" s="113">
      <c r="A32" s="109" t="inlineStr">
        <is>
          <t>AI22529</t>
        </is>
      </c>
      <c r="B32" s="109" t="inlineStr">
        <is>
          <t>Alinity i</t>
        </is>
      </c>
      <c r="C32" s="109" t="inlineStr">
        <is>
          <t>Anti-HCVII</t>
        </is>
      </c>
      <c r="D32" s="109" t="n">
        <v>567</v>
      </c>
      <c r="E32" s="109" t="n">
        <v>1655</v>
      </c>
      <c r="F32" s="109" t="n">
        <v>1593</v>
      </c>
      <c r="G32" s="109" t="n">
        <v>53</v>
      </c>
      <c r="H32" s="109" t="n">
        <v>0</v>
      </c>
      <c r="I32" s="109" t="n">
        <v>3</v>
      </c>
      <c r="J32" s="109" t="n">
        <v>188</v>
      </c>
      <c r="K32" s="109" t="n">
        <v>184</v>
      </c>
      <c r="L32" s="109" t="n">
        <v>1846</v>
      </c>
      <c r="M32" s="109" t="n">
        <v>615.333333333333</v>
      </c>
    </row>
    <row r="33" ht="13.8" customHeight="1" s="113">
      <c r="A33" s="109" t="inlineStr">
        <is>
          <t>AI22529</t>
        </is>
      </c>
      <c r="B33" s="109" t="inlineStr">
        <is>
          <t>Alinity i</t>
        </is>
      </c>
      <c r="C33" s="109" t="inlineStr">
        <is>
          <t>Anti-HCVII</t>
        </is>
      </c>
      <c r="D33" s="109" t="n">
        <v>567</v>
      </c>
      <c r="E33" s="109" t="n">
        <v>2730</v>
      </c>
      <c r="F33" s="109" t="n">
        <v>2418</v>
      </c>
      <c r="G33" s="109" t="n">
        <v>197</v>
      </c>
      <c r="H33" s="109" t="n">
        <v>0</v>
      </c>
      <c r="I33" s="109" t="n">
        <v>3</v>
      </c>
      <c r="J33" s="109" t="n">
        <v>216</v>
      </c>
      <c r="K33" s="109" t="n">
        <v>191</v>
      </c>
      <c r="L33" s="109" t="n">
        <v>2949</v>
      </c>
      <c r="M33" s="109" t="n">
        <v>983</v>
      </c>
    </row>
    <row r="34" ht="13.8" customHeight="1" s="113">
      <c r="A34" s="109" t="inlineStr">
        <is>
          <t>AI22529</t>
        </is>
      </c>
      <c r="B34" s="109" t="inlineStr">
        <is>
          <t>Alinity i</t>
        </is>
      </c>
      <c r="C34" s="109" t="inlineStr">
        <is>
          <t>Anti-Tg</t>
        </is>
      </c>
      <c r="D34" s="109" t="n">
        <v>174</v>
      </c>
      <c r="E34" s="109" t="n">
        <v>1891</v>
      </c>
      <c r="F34" s="109" t="n">
        <v>1691</v>
      </c>
      <c r="G34" s="109" t="n">
        <v>121</v>
      </c>
      <c r="H34" s="109" t="n">
        <v>27</v>
      </c>
      <c r="I34" s="109" t="n">
        <v>48</v>
      </c>
      <c r="J34" s="109" t="n">
        <v>363</v>
      </c>
      <c r="K34" s="109" t="n">
        <v>291</v>
      </c>
      <c r="L34" s="109" t="n">
        <v>2302</v>
      </c>
      <c r="M34" s="109" t="n">
        <v>767.333333333333</v>
      </c>
    </row>
    <row r="35" ht="13.8" customHeight="1" s="113">
      <c r="A35" s="109" t="inlineStr">
        <is>
          <t>AI22529</t>
        </is>
      </c>
      <c r="B35" s="109" t="inlineStr">
        <is>
          <t>Alinity i</t>
        </is>
      </c>
      <c r="C35" s="109" t="inlineStr">
        <is>
          <t>Anti-TPO</t>
        </is>
      </c>
      <c r="D35" s="109" t="n">
        <v>184</v>
      </c>
      <c r="E35" s="109" t="n">
        <v>1796</v>
      </c>
      <c r="F35" s="109" t="n">
        <v>1611</v>
      </c>
      <c r="G35" s="109" t="n">
        <v>157</v>
      </c>
      <c r="H35" s="109" t="n">
        <v>59</v>
      </c>
      <c r="I35" s="109" t="n">
        <v>24</v>
      </c>
      <c r="J35" s="109" t="n">
        <v>371</v>
      </c>
      <c r="K35" s="109" t="n">
        <v>295</v>
      </c>
      <c r="L35" s="109" t="n">
        <v>2191</v>
      </c>
      <c r="M35" s="109" t="n">
        <v>730.333333333333</v>
      </c>
    </row>
    <row r="36" ht="13.8" customHeight="1" s="113">
      <c r="A36" s="109" t="inlineStr">
        <is>
          <t>AC04860</t>
        </is>
      </c>
      <c r="B36" s="109" t="inlineStr">
        <is>
          <t>Alinity c</t>
        </is>
      </c>
      <c r="C36" s="109" t="inlineStr">
        <is>
          <t>APOA1</t>
        </is>
      </c>
      <c r="D36" s="109" t="n">
        <v>1053</v>
      </c>
      <c r="E36" s="109" t="n">
        <v>140</v>
      </c>
      <c r="F36" s="109" t="n">
        <v>129</v>
      </c>
      <c r="G36" s="109" t="n">
        <v>10</v>
      </c>
      <c r="H36" s="109" t="n">
        <v>0</v>
      </c>
      <c r="I36" s="109" t="n">
        <v>54</v>
      </c>
      <c r="J36" s="109" t="n">
        <v>198</v>
      </c>
      <c r="K36" s="109" t="n">
        <v>188</v>
      </c>
      <c r="L36" s="109" t="n">
        <v>392</v>
      </c>
      <c r="M36" s="109" t="n">
        <v>130.666666666667</v>
      </c>
    </row>
    <row r="37" ht="13.8" customHeight="1" s="113">
      <c r="A37" s="109" t="inlineStr">
        <is>
          <t>AC04860</t>
        </is>
      </c>
      <c r="B37" s="109" t="inlineStr">
        <is>
          <t>Alinity c</t>
        </is>
      </c>
      <c r="C37" s="109" t="inlineStr">
        <is>
          <t>APOB</t>
        </is>
      </c>
      <c r="D37" s="109" t="n">
        <v>1054</v>
      </c>
      <c r="E37" s="109" t="n">
        <v>13</v>
      </c>
      <c r="F37" s="109" t="n">
        <v>9</v>
      </c>
      <c r="G37" s="109" t="n">
        <v>3</v>
      </c>
      <c r="H37" s="109" t="n">
        <v>0</v>
      </c>
      <c r="I37" s="109" t="n">
        <v>72</v>
      </c>
      <c r="J37" s="109" t="n">
        <v>71</v>
      </c>
      <c r="K37" s="109" t="n">
        <v>69</v>
      </c>
      <c r="L37" s="109" t="n">
        <v>156</v>
      </c>
      <c r="M37" s="109" t="n">
        <v>52</v>
      </c>
    </row>
    <row r="38" ht="13.8" customHeight="1" s="113">
      <c r="A38" s="109" t="inlineStr">
        <is>
          <t>AC04860</t>
        </is>
      </c>
      <c r="B38" s="109" t="inlineStr">
        <is>
          <t>Alinity c</t>
        </is>
      </c>
      <c r="C38" s="109" t="inlineStr">
        <is>
          <t>APOB</t>
        </is>
      </c>
      <c r="D38" s="109" t="n">
        <v>1054</v>
      </c>
      <c r="E38" s="109" t="n">
        <v>122</v>
      </c>
      <c r="F38" s="109" t="n">
        <v>115</v>
      </c>
      <c r="G38" s="109" t="n">
        <v>6</v>
      </c>
      <c r="H38" s="109" t="n">
        <v>1</v>
      </c>
      <c r="I38" s="109" t="n">
        <v>108</v>
      </c>
      <c r="J38" s="109" t="n">
        <v>204</v>
      </c>
      <c r="K38" s="109" t="n">
        <v>194</v>
      </c>
      <c r="L38" s="109" t="n">
        <v>434</v>
      </c>
      <c r="M38" s="109" t="n">
        <v>144.666666666667</v>
      </c>
    </row>
    <row r="39" ht="13.8" customHeight="1" s="113">
      <c r="A39" s="109" t="inlineStr">
        <is>
          <t>AC04860</t>
        </is>
      </c>
      <c r="B39" s="109" t="inlineStr">
        <is>
          <t>Alinity c</t>
        </is>
      </c>
      <c r="C39" s="109" t="inlineStr">
        <is>
          <t>ASO</t>
        </is>
      </c>
      <c r="D39" s="109" t="n">
        <v>1902</v>
      </c>
      <c r="E39" s="109" t="n">
        <v>260</v>
      </c>
      <c r="F39" s="109" t="n">
        <v>245</v>
      </c>
      <c r="G39" s="109" t="n">
        <v>15</v>
      </c>
      <c r="H39" s="109" t="n">
        <v>3</v>
      </c>
      <c r="I39" s="109" t="n">
        <v>36</v>
      </c>
      <c r="J39" s="109" t="n">
        <v>216</v>
      </c>
      <c r="K39" s="109" t="n">
        <v>205</v>
      </c>
      <c r="L39" s="109" t="n">
        <v>512</v>
      </c>
      <c r="M39" s="109" t="n">
        <v>170.666666666667</v>
      </c>
    </row>
    <row r="40" ht="13.8" customHeight="1" s="113">
      <c r="A40" s="109" t="inlineStr">
        <is>
          <t>AC04860</t>
        </is>
      </c>
      <c r="B40" s="109" t="inlineStr">
        <is>
          <t>Alinity c</t>
        </is>
      </c>
      <c r="C40" s="109" t="inlineStr">
        <is>
          <t>B2M</t>
        </is>
      </c>
      <c r="D40" s="109" t="n">
        <v>1903</v>
      </c>
      <c r="E40" s="109" t="n">
        <v>547</v>
      </c>
      <c r="F40" s="109" t="n">
        <v>497</v>
      </c>
      <c r="G40" s="109" t="n">
        <v>67</v>
      </c>
      <c r="H40" s="109" t="n">
        <v>28</v>
      </c>
      <c r="I40" s="109" t="n">
        <v>60</v>
      </c>
      <c r="J40" s="109" t="n">
        <v>264</v>
      </c>
      <c r="K40" s="109" t="n">
        <v>237</v>
      </c>
      <c r="L40" s="109" t="n">
        <v>871</v>
      </c>
      <c r="M40" s="109" t="n">
        <v>290.333333333333</v>
      </c>
    </row>
    <row r="41" ht="13.8" customHeight="1" s="113">
      <c r="A41" s="109" t="inlineStr">
        <is>
          <t>AC04860</t>
        </is>
      </c>
      <c r="B41" s="109" t="inlineStr">
        <is>
          <t>Alinity c</t>
        </is>
      </c>
      <c r="C41" s="109" t="inlineStr">
        <is>
          <t>BarbSQ</t>
        </is>
      </c>
      <c r="D41" s="109" t="n">
        <v>1850</v>
      </c>
      <c r="E41" s="109" t="n">
        <v>22</v>
      </c>
      <c r="F41" s="109" t="n">
        <v>22</v>
      </c>
      <c r="G41" s="109" t="n">
        <v>0</v>
      </c>
      <c r="H41" s="109" t="n">
        <v>0</v>
      </c>
      <c r="I41" s="109" t="n">
        <v>70</v>
      </c>
      <c r="J41" s="109" t="n">
        <v>190</v>
      </c>
      <c r="K41" s="109" t="n">
        <v>184</v>
      </c>
      <c r="L41" s="109" t="n">
        <v>282</v>
      </c>
      <c r="M41" s="109" t="n">
        <v>94</v>
      </c>
    </row>
    <row r="42" ht="13.8" customHeight="1" s="113">
      <c r="A42" s="109" t="inlineStr">
        <is>
          <t>AC04860</t>
        </is>
      </c>
      <c r="B42" s="109" t="inlineStr">
        <is>
          <t>Alinity c</t>
        </is>
      </c>
      <c r="C42" s="109" t="inlineStr">
        <is>
          <t>BarbSQ</t>
        </is>
      </c>
      <c r="D42" s="109" t="n">
        <v>1850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10</v>
      </c>
      <c r="J42" s="109" t="n">
        <v>3</v>
      </c>
      <c r="K42" s="109" t="n">
        <v>3</v>
      </c>
      <c r="L42" s="109" t="n">
        <v>13</v>
      </c>
      <c r="M42" s="109" t="n">
        <v>4.33333333333333</v>
      </c>
    </row>
    <row r="43" ht="13.8" customHeight="1" s="113">
      <c r="A43" s="109" t="inlineStr">
        <is>
          <t>AC04860</t>
        </is>
      </c>
      <c r="B43" s="109" t="inlineStr">
        <is>
          <t>Alinity c</t>
        </is>
      </c>
      <c r="C43" s="109" t="inlineStr">
        <is>
          <t>BenzSQ</t>
        </is>
      </c>
      <c r="D43" s="109" t="n">
        <v>1852</v>
      </c>
      <c r="E43" s="109" t="n">
        <v>872</v>
      </c>
      <c r="F43" s="109" t="n">
        <v>866</v>
      </c>
      <c r="G43" s="109" t="n">
        <v>7</v>
      </c>
      <c r="H43" s="109" t="n">
        <v>0</v>
      </c>
      <c r="I43" s="109" t="n">
        <v>160</v>
      </c>
      <c r="J43" s="109" t="n">
        <v>204</v>
      </c>
      <c r="K43" s="109" t="n">
        <v>196</v>
      </c>
      <c r="L43" s="109" t="n">
        <v>1236</v>
      </c>
      <c r="M43" s="109" t="n">
        <v>412</v>
      </c>
    </row>
    <row r="44" ht="13.8" customHeight="1" s="113">
      <c r="A44" s="109" t="inlineStr">
        <is>
          <t>AC04860</t>
        </is>
      </c>
      <c r="B44" s="109" t="inlineStr">
        <is>
          <t>Alinity c</t>
        </is>
      </c>
      <c r="C44" s="109" t="inlineStr">
        <is>
          <t>BenzSQ</t>
        </is>
      </c>
      <c r="D44" s="109" t="n">
        <v>1852</v>
      </c>
      <c r="E44" s="109" t="n">
        <v>11</v>
      </c>
      <c r="F44" s="109" t="n">
        <v>11</v>
      </c>
      <c r="G44" s="109" t="n">
        <v>0</v>
      </c>
      <c r="H44" s="109" t="n">
        <v>0</v>
      </c>
      <c r="I44" s="109" t="n">
        <v>10</v>
      </c>
      <c r="J44" s="109" t="n">
        <v>3</v>
      </c>
      <c r="K44" s="109" t="n">
        <v>3</v>
      </c>
      <c r="L44" s="109" t="n">
        <v>24</v>
      </c>
      <c r="M44" s="109" t="n">
        <v>8</v>
      </c>
    </row>
    <row r="45" ht="13.8" customHeight="1" s="113">
      <c r="A45" s="109" t="inlineStr">
        <is>
          <t>AI22529</t>
        </is>
      </c>
      <c r="B45" s="109" t="inlineStr">
        <is>
          <t>Alinity i</t>
        </is>
      </c>
      <c r="C45" s="109" t="inlineStr">
        <is>
          <t>B-hCG</t>
        </is>
      </c>
      <c r="D45" s="109" t="n">
        <v>658</v>
      </c>
      <c r="E45" s="109" t="n">
        <v>390</v>
      </c>
      <c r="F45" s="109" t="n">
        <v>352</v>
      </c>
      <c r="G45" s="109" t="n">
        <v>62</v>
      </c>
      <c r="H45" s="109" t="n">
        <v>49</v>
      </c>
      <c r="I45" s="109" t="n">
        <v>60</v>
      </c>
      <c r="J45" s="109" t="n">
        <v>356</v>
      </c>
      <c r="K45" s="109" t="n">
        <v>266</v>
      </c>
      <c r="L45" s="109" t="n">
        <v>806</v>
      </c>
      <c r="M45" s="109" t="n">
        <v>268.666666666667</v>
      </c>
    </row>
    <row r="46" ht="13.8" customHeight="1" s="113">
      <c r="A46" s="109" t="inlineStr">
        <is>
          <t>AI22529</t>
        </is>
      </c>
      <c r="B46" s="109" t="inlineStr">
        <is>
          <t>Alinity i</t>
        </is>
      </c>
      <c r="C46" s="109" t="inlineStr">
        <is>
          <t>B-hCG</t>
        </is>
      </c>
      <c r="D46" s="109" t="n">
        <v>658</v>
      </c>
      <c r="E46" s="109" t="n">
        <v>0</v>
      </c>
      <c r="F46" s="109" t="n">
        <v>0</v>
      </c>
      <c r="G46" s="109" t="n">
        <v>0</v>
      </c>
      <c r="H46" s="109" t="n">
        <v>0</v>
      </c>
      <c r="I46" s="109" t="n">
        <v>12</v>
      </c>
      <c r="J46" s="109" t="n">
        <v>3</v>
      </c>
      <c r="K46" s="109" t="n">
        <v>3</v>
      </c>
      <c r="L46" s="109" t="n">
        <v>15</v>
      </c>
      <c r="M46" s="109" t="n">
        <v>5</v>
      </c>
    </row>
    <row r="47" ht="13.8" customHeight="1" s="113">
      <c r="A47" s="109" t="inlineStr">
        <is>
          <t>AI22529</t>
        </is>
      </c>
      <c r="B47" s="109" t="inlineStr">
        <is>
          <t>Alinity i</t>
        </is>
      </c>
      <c r="C47" s="109" t="inlineStr">
        <is>
          <t>B-hCG</t>
        </is>
      </c>
      <c r="D47" s="109" t="n">
        <v>658</v>
      </c>
      <c r="E47" s="109" t="n">
        <v>311</v>
      </c>
      <c r="F47" s="109" t="n">
        <v>308</v>
      </c>
      <c r="G47" s="109" t="n">
        <v>32</v>
      </c>
      <c r="H47" s="109" t="n">
        <v>30</v>
      </c>
      <c r="I47" s="109" t="n">
        <v>120</v>
      </c>
      <c r="J47" s="109" t="n">
        <v>295</v>
      </c>
      <c r="K47" s="109" t="n">
        <v>264</v>
      </c>
      <c r="L47" s="109" t="n">
        <v>726</v>
      </c>
      <c r="M47" s="109" t="n">
        <v>242</v>
      </c>
    </row>
    <row r="48" ht="13.8" customHeight="1" s="113">
      <c r="A48" s="109" t="inlineStr">
        <is>
          <t>AC04860</t>
        </is>
      </c>
      <c r="B48" s="109" t="inlineStr">
        <is>
          <t>Alinity c</t>
        </is>
      </c>
      <c r="C48" s="109" t="inlineStr">
        <is>
          <t>Bile Acids</t>
        </is>
      </c>
      <c r="D48" s="109" t="n">
        <v>1888</v>
      </c>
      <c r="E48" s="109" t="n">
        <v>199</v>
      </c>
      <c r="F48" s="109" t="n">
        <v>195</v>
      </c>
      <c r="G48" s="109" t="n">
        <v>2</v>
      </c>
      <c r="H48" s="109" t="n">
        <v>1</v>
      </c>
      <c r="I48" s="109" t="n">
        <v>18</v>
      </c>
      <c r="J48" s="109" t="n">
        <v>262</v>
      </c>
      <c r="K48" s="109" t="n">
        <v>247</v>
      </c>
      <c r="L48" s="109" t="n">
        <v>479</v>
      </c>
      <c r="M48" s="109" t="n">
        <v>159.666666666667</v>
      </c>
    </row>
    <row r="49" ht="13.8" customHeight="1" s="113">
      <c r="A49" s="109" t="inlineStr">
        <is>
          <t>AC04860</t>
        </is>
      </c>
      <c r="B49" s="109" t="inlineStr">
        <is>
          <t>Alinity c</t>
        </is>
      </c>
      <c r="C49" s="109" t="inlineStr">
        <is>
          <t>Bili D</t>
        </is>
      </c>
      <c r="D49" s="109" t="n">
        <v>1065</v>
      </c>
      <c r="E49" s="109" t="n">
        <v>9150</v>
      </c>
      <c r="F49" s="109" t="n">
        <v>7886</v>
      </c>
      <c r="G49" s="109" t="n">
        <v>986</v>
      </c>
      <c r="H49" s="109" t="n">
        <v>15</v>
      </c>
      <c r="I49" s="109" t="n">
        <v>99</v>
      </c>
      <c r="J49" s="109" t="n">
        <v>327</v>
      </c>
      <c r="K49" s="109" t="n">
        <v>306</v>
      </c>
      <c r="L49" s="109" t="n">
        <v>9576</v>
      </c>
      <c r="M49" s="109" t="n">
        <v>3192</v>
      </c>
    </row>
    <row r="50" ht="13.8" customHeight="1" s="113">
      <c r="A50" s="109" t="inlineStr">
        <is>
          <t>AC04860</t>
        </is>
      </c>
      <c r="B50" s="109" t="inlineStr">
        <is>
          <t>Alinity c</t>
        </is>
      </c>
      <c r="C50" s="109" t="inlineStr">
        <is>
          <t>Bili D</t>
        </is>
      </c>
      <c r="D50" s="109" t="n">
        <v>1065</v>
      </c>
      <c r="E50" s="109" t="n">
        <v>7388</v>
      </c>
      <c r="F50" s="109" t="n">
        <v>7057</v>
      </c>
      <c r="G50" s="109" t="n">
        <v>262</v>
      </c>
      <c r="H50" s="109" t="n">
        <v>12</v>
      </c>
      <c r="I50" s="109" t="n">
        <v>90</v>
      </c>
      <c r="J50" s="109" t="n">
        <v>292</v>
      </c>
      <c r="K50" s="109" t="n">
        <v>282</v>
      </c>
      <c r="L50" s="109" t="n">
        <v>7770</v>
      </c>
      <c r="M50" s="109" t="n">
        <v>2590</v>
      </c>
    </row>
    <row r="51" ht="13.8" customHeight="1" s="113">
      <c r="A51" s="109" t="inlineStr">
        <is>
          <t>AC04860</t>
        </is>
      </c>
      <c r="B51" s="109" t="inlineStr">
        <is>
          <t>Alinity c</t>
        </is>
      </c>
      <c r="C51" s="109" t="inlineStr">
        <is>
          <t>Bili D</t>
        </is>
      </c>
      <c r="D51" s="109" t="n">
        <v>1065</v>
      </c>
      <c r="E51" s="109" t="n">
        <v>9401</v>
      </c>
      <c r="F51" s="109" t="n">
        <v>8314</v>
      </c>
      <c r="G51" s="109" t="n">
        <v>778</v>
      </c>
      <c r="H51" s="109" t="n">
        <v>11</v>
      </c>
      <c r="I51" s="109" t="n">
        <v>117</v>
      </c>
      <c r="J51" s="109" t="n">
        <v>308</v>
      </c>
      <c r="K51" s="109" t="n">
        <v>299</v>
      </c>
      <c r="L51" s="109" t="n">
        <v>9826</v>
      </c>
      <c r="M51" s="109" t="n">
        <v>3275.33333333333</v>
      </c>
    </row>
    <row r="52" ht="13.8" customHeight="1" s="113">
      <c r="A52" s="109" t="inlineStr">
        <is>
          <t>AI22529</t>
        </is>
      </c>
      <c r="B52" s="109" t="inlineStr">
        <is>
          <t>Alinity i</t>
        </is>
      </c>
      <c r="C52" s="109" t="inlineStr">
        <is>
          <t>BNP</t>
        </is>
      </c>
      <c r="D52" s="109" t="n">
        <v>657</v>
      </c>
      <c r="E52" s="109" t="n">
        <v>1030</v>
      </c>
      <c r="F52" s="109" t="n">
        <v>981</v>
      </c>
      <c r="G52" s="109" t="n">
        <v>36</v>
      </c>
      <c r="H52" s="109" t="n">
        <v>10</v>
      </c>
      <c r="I52" s="109" t="n">
        <v>12</v>
      </c>
      <c r="J52" s="109" t="n">
        <v>232</v>
      </c>
      <c r="K52" s="109" t="n">
        <v>215</v>
      </c>
      <c r="L52" s="109" t="n">
        <v>1274</v>
      </c>
      <c r="M52" s="109" t="n">
        <v>424.666666666667</v>
      </c>
    </row>
    <row r="53" ht="13.8" customHeight="1" s="113">
      <c r="A53" s="109" t="inlineStr">
        <is>
          <t>AI22529</t>
        </is>
      </c>
      <c r="B53" s="109" t="inlineStr">
        <is>
          <t>Alinity i</t>
        </is>
      </c>
      <c r="C53" s="109" t="inlineStr">
        <is>
          <t>BNP</t>
        </is>
      </c>
      <c r="D53" s="109" t="n">
        <v>657</v>
      </c>
      <c r="E53" s="109" t="n">
        <v>3220</v>
      </c>
      <c r="F53" s="109" t="n">
        <v>3194</v>
      </c>
      <c r="G53" s="109" t="n">
        <v>38</v>
      </c>
      <c r="H53" s="109" t="n">
        <v>19</v>
      </c>
      <c r="I53" s="109" t="n">
        <v>0</v>
      </c>
      <c r="J53" s="109" t="n">
        <v>206</v>
      </c>
      <c r="K53" s="109" t="n">
        <v>190</v>
      </c>
      <c r="L53" s="109" t="n">
        <v>3426</v>
      </c>
      <c r="M53" s="109" t="n">
        <v>1142</v>
      </c>
    </row>
    <row r="54" ht="13.8" customHeight="1" s="113">
      <c r="A54" s="109" t="inlineStr">
        <is>
          <t>AC04860</t>
        </is>
      </c>
      <c r="B54" s="109" t="inlineStr">
        <is>
          <t>Alinity c</t>
        </is>
      </c>
      <c r="C54" s="109" t="inlineStr">
        <is>
          <t>BUP SQ</t>
        </is>
      </c>
      <c r="D54" s="109" t="n">
        <v>2006</v>
      </c>
      <c r="E54" s="109" t="n">
        <v>301</v>
      </c>
      <c r="F54" s="109" t="n">
        <v>297</v>
      </c>
      <c r="G54" s="109" t="n">
        <v>8</v>
      </c>
      <c r="H54" s="109" t="n">
        <v>0</v>
      </c>
      <c r="I54" s="109" t="n">
        <v>150</v>
      </c>
      <c r="J54" s="109" t="n">
        <v>181</v>
      </c>
      <c r="K54" s="109" t="n">
        <v>178</v>
      </c>
      <c r="L54" s="109" t="n">
        <v>632</v>
      </c>
      <c r="M54" s="109" t="n">
        <v>210.666666666667</v>
      </c>
    </row>
    <row r="55" ht="13.8" customHeight="1" s="113">
      <c r="A55" s="109" t="inlineStr">
        <is>
          <t>AC04860</t>
        </is>
      </c>
      <c r="B55" s="109" t="inlineStr">
        <is>
          <t>Alinity c</t>
        </is>
      </c>
      <c r="C55" s="109" t="inlineStr">
        <is>
          <t>C3</t>
        </is>
      </c>
      <c r="D55" s="109" t="n">
        <v>1055</v>
      </c>
      <c r="E55" s="109" t="n">
        <v>439</v>
      </c>
      <c r="F55" s="109" t="n">
        <v>383</v>
      </c>
      <c r="G55" s="109" t="n">
        <v>39</v>
      </c>
      <c r="H55" s="109" t="n">
        <v>0</v>
      </c>
      <c r="I55" s="109" t="n">
        <v>36</v>
      </c>
      <c r="J55" s="109" t="n">
        <v>230</v>
      </c>
      <c r="K55" s="109" t="n">
        <v>213</v>
      </c>
      <c r="L55" s="109" t="n">
        <v>705</v>
      </c>
      <c r="M55" s="109" t="n">
        <v>235</v>
      </c>
    </row>
    <row r="56" ht="13.8" customHeight="1" s="113">
      <c r="A56" s="109" t="inlineStr">
        <is>
          <t>AC04860</t>
        </is>
      </c>
      <c r="B56" s="109" t="inlineStr">
        <is>
          <t>Alinity c</t>
        </is>
      </c>
      <c r="C56" s="109" t="inlineStr">
        <is>
          <t>C3</t>
        </is>
      </c>
      <c r="D56" s="109" t="n">
        <v>1055</v>
      </c>
      <c r="E56" s="109" t="n">
        <v>0</v>
      </c>
      <c r="F56" s="109" t="n">
        <v>0</v>
      </c>
      <c r="G56" s="109" t="n">
        <v>0</v>
      </c>
      <c r="H56" s="109" t="n">
        <v>0</v>
      </c>
      <c r="I56" s="109" t="n">
        <v>0</v>
      </c>
      <c r="J56" s="109" t="n">
        <v>3</v>
      </c>
      <c r="K56" s="109" t="n">
        <v>0</v>
      </c>
      <c r="L56" s="109" t="n">
        <v>3</v>
      </c>
      <c r="M56" s="109" t="n">
        <v>1</v>
      </c>
    </row>
    <row r="57" ht="13.8" customHeight="1" s="113">
      <c r="A57" s="109" t="inlineStr">
        <is>
          <t>AC04860</t>
        </is>
      </c>
      <c r="B57" s="109" t="inlineStr">
        <is>
          <t>Alinity c</t>
        </is>
      </c>
      <c r="C57" s="109" t="inlineStr">
        <is>
          <t>C4</t>
        </is>
      </c>
      <c r="D57" s="109" t="n">
        <v>1056</v>
      </c>
      <c r="E57" s="109" t="n">
        <v>443</v>
      </c>
      <c r="F57" s="109" t="n">
        <v>386</v>
      </c>
      <c r="G57" s="109" t="n">
        <v>40</v>
      </c>
      <c r="H57" s="109" t="n">
        <v>0</v>
      </c>
      <c r="I57" s="109" t="n">
        <v>54</v>
      </c>
      <c r="J57" s="109" t="n">
        <v>219</v>
      </c>
      <c r="K57" s="109" t="n">
        <v>201</v>
      </c>
      <c r="L57" s="109" t="n">
        <v>716</v>
      </c>
      <c r="M57" s="109" t="n">
        <v>238.666666666667</v>
      </c>
    </row>
    <row r="58" ht="13.8" customHeight="1" s="113">
      <c r="A58" s="109" t="inlineStr">
        <is>
          <t>AC04860</t>
        </is>
      </c>
      <c r="B58" s="109" t="inlineStr">
        <is>
          <t>Alinity c</t>
        </is>
      </c>
      <c r="C58" s="109" t="inlineStr">
        <is>
          <t>C4</t>
        </is>
      </c>
      <c r="D58" s="109" t="n">
        <v>1056</v>
      </c>
      <c r="E58" s="109" t="n">
        <v>0</v>
      </c>
      <c r="F58" s="109" t="n">
        <v>0</v>
      </c>
      <c r="G58" s="109" t="n">
        <v>0</v>
      </c>
      <c r="H58" s="109" t="n">
        <v>0</v>
      </c>
      <c r="I58" s="109" t="n">
        <v>0</v>
      </c>
      <c r="J58" s="109" t="n">
        <v>3</v>
      </c>
      <c r="K58" s="109" t="n">
        <v>0</v>
      </c>
      <c r="L58" s="109" t="n">
        <v>3</v>
      </c>
      <c r="M58" s="109" t="n">
        <v>1</v>
      </c>
    </row>
    <row r="59" ht="13.8" customHeight="1" s="113">
      <c r="A59" s="109" t="inlineStr">
        <is>
          <t>AI22529</t>
        </is>
      </c>
      <c r="B59" s="109" t="inlineStr">
        <is>
          <t>Alinity i</t>
        </is>
      </c>
      <c r="C59" s="109" t="inlineStr">
        <is>
          <t>CA 125 II</t>
        </is>
      </c>
      <c r="D59" s="109" t="n">
        <v>593</v>
      </c>
      <c r="E59" s="109" t="n">
        <v>931</v>
      </c>
      <c r="F59" s="109" t="n">
        <v>833</v>
      </c>
      <c r="G59" s="109" t="n">
        <v>57</v>
      </c>
      <c r="H59" s="109" t="n">
        <v>17</v>
      </c>
      <c r="I59" s="109" t="n">
        <v>84</v>
      </c>
      <c r="J59" s="109" t="n">
        <v>310</v>
      </c>
      <c r="K59" s="109" t="n">
        <v>243</v>
      </c>
      <c r="L59" s="109" t="n">
        <v>1325</v>
      </c>
      <c r="M59" s="109" t="n">
        <v>441.666666666667</v>
      </c>
    </row>
    <row r="60" ht="13.8" customHeight="1" s="113">
      <c r="A60" s="109" t="inlineStr">
        <is>
          <t>AI22529</t>
        </is>
      </c>
      <c r="B60" s="109" t="inlineStr">
        <is>
          <t>Alinity i</t>
        </is>
      </c>
      <c r="C60" s="109" t="inlineStr">
        <is>
          <t>CA 15-3</t>
        </is>
      </c>
      <c r="D60" s="109" t="n">
        <v>349</v>
      </c>
      <c r="E60" s="109" t="n">
        <v>1067</v>
      </c>
      <c r="F60" s="109" t="n">
        <v>952</v>
      </c>
      <c r="G60" s="109" t="n">
        <v>69</v>
      </c>
      <c r="H60" s="109" t="n">
        <v>6</v>
      </c>
      <c r="I60" s="109" t="n">
        <v>48</v>
      </c>
      <c r="J60" s="109" t="n">
        <v>360</v>
      </c>
      <c r="K60" s="109" t="n">
        <v>281</v>
      </c>
      <c r="L60" s="109" t="n">
        <v>1475</v>
      </c>
      <c r="M60" s="109" t="n">
        <v>491.666666666667</v>
      </c>
    </row>
    <row r="61" ht="13.8" customHeight="1" s="113">
      <c r="A61" s="109" t="inlineStr">
        <is>
          <t>AI22529</t>
        </is>
      </c>
      <c r="B61" s="109" t="inlineStr">
        <is>
          <t>Alinity i</t>
        </is>
      </c>
      <c r="C61" s="109" t="inlineStr">
        <is>
          <t>CA19-9XR</t>
        </is>
      </c>
      <c r="D61" s="109" t="n">
        <v>598</v>
      </c>
      <c r="E61" s="109" t="n">
        <v>1188</v>
      </c>
      <c r="F61" s="109" t="n">
        <v>1064</v>
      </c>
      <c r="G61" s="109" t="n">
        <v>103</v>
      </c>
      <c r="H61" s="109" t="n">
        <v>24</v>
      </c>
      <c r="I61" s="109" t="n">
        <v>12</v>
      </c>
      <c r="J61" s="109" t="n">
        <v>241</v>
      </c>
      <c r="K61" s="109" t="n">
        <v>213</v>
      </c>
      <c r="L61" s="109" t="n">
        <v>1441</v>
      </c>
      <c r="M61" s="109" t="n">
        <v>480.333333333333</v>
      </c>
    </row>
    <row r="62" ht="13.8" customHeight="1" s="113">
      <c r="A62" s="109" t="inlineStr">
        <is>
          <t>AC04860</t>
        </is>
      </c>
      <c r="B62" s="109" t="inlineStr">
        <is>
          <t>Alinity c</t>
        </is>
      </c>
      <c r="C62" s="109" t="inlineStr">
        <is>
          <t>CaC2</t>
        </is>
      </c>
      <c r="D62" s="109" t="n">
        <v>1440</v>
      </c>
      <c r="E62" s="109" t="n">
        <v>10142</v>
      </c>
      <c r="F62" s="109" t="n">
        <v>8872</v>
      </c>
      <c r="G62" s="109" t="n">
        <v>1001</v>
      </c>
      <c r="H62" s="109" t="n">
        <v>0</v>
      </c>
      <c r="I62" s="109" t="n">
        <v>60</v>
      </c>
      <c r="J62" s="109" t="n">
        <v>259</v>
      </c>
      <c r="K62" s="109" t="n">
        <v>243</v>
      </c>
      <c r="L62" s="109" t="n">
        <v>10461</v>
      </c>
      <c r="M62" s="109" t="n">
        <v>3487</v>
      </c>
    </row>
    <row r="63" ht="13.8" customHeight="1" s="113">
      <c r="A63" s="109" t="inlineStr">
        <is>
          <t>AC04860</t>
        </is>
      </c>
      <c r="B63" s="109" t="inlineStr">
        <is>
          <t>Alinity c</t>
        </is>
      </c>
      <c r="C63" s="109" t="inlineStr">
        <is>
          <t>CaC2</t>
        </is>
      </c>
      <c r="D63" s="109" t="n">
        <v>1440</v>
      </c>
      <c r="E63" s="109" t="n">
        <v>9135</v>
      </c>
      <c r="F63" s="109" t="n">
        <v>8748</v>
      </c>
      <c r="G63" s="109" t="n">
        <v>338</v>
      </c>
      <c r="H63" s="109" t="n">
        <v>0</v>
      </c>
      <c r="I63" s="109" t="n">
        <v>72</v>
      </c>
      <c r="J63" s="109" t="n">
        <v>221</v>
      </c>
      <c r="K63" s="109" t="n">
        <v>210</v>
      </c>
      <c r="L63" s="109" t="n">
        <v>9428</v>
      </c>
      <c r="M63" s="109" t="n">
        <v>3142.66666666667</v>
      </c>
    </row>
    <row r="64" ht="13.8" customHeight="1" s="113">
      <c r="A64" s="109" t="inlineStr">
        <is>
          <t>AC04860</t>
        </is>
      </c>
      <c r="B64" s="109" t="inlineStr">
        <is>
          <t>Alinity c</t>
        </is>
      </c>
      <c r="C64" s="109" t="inlineStr">
        <is>
          <t>CaC2</t>
        </is>
      </c>
      <c r="D64" s="109" t="n">
        <v>1440</v>
      </c>
      <c r="E64" s="109" t="n">
        <v>10322</v>
      </c>
      <c r="F64" s="109" t="n">
        <v>9227</v>
      </c>
      <c r="G64" s="109" t="n">
        <v>797</v>
      </c>
      <c r="H64" s="109" t="n">
        <v>0</v>
      </c>
      <c r="I64" s="109" t="n">
        <v>60</v>
      </c>
      <c r="J64" s="109" t="n">
        <v>214</v>
      </c>
      <c r="K64" s="109" t="n">
        <v>209</v>
      </c>
      <c r="L64" s="109" t="n">
        <v>10596</v>
      </c>
      <c r="M64" s="109" t="n">
        <v>3532</v>
      </c>
    </row>
    <row r="65" ht="13.8" customHeight="1" s="113">
      <c r="A65" s="109" t="inlineStr">
        <is>
          <t>AC04860</t>
        </is>
      </c>
      <c r="B65" s="109" t="inlineStr">
        <is>
          <t>Alinity c</t>
        </is>
      </c>
      <c r="C65" s="109" t="inlineStr">
        <is>
          <t>CaC2-U</t>
        </is>
      </c>
      <c r="D65" s="109" t="n">
        <v>1442</v>
      </c>
      <c r="E65" s="109" t="n">
        <v>23</v>
      </c>
      <c r="F65" s="109" t="n">
        <v>21</v>
      </c>
      <c r="G65" s="109" t="n">
        <v>1</v>
      </c>
      <c r="H65" s="109" t="n">
        <v>1</v>
      </c>
      <c r="I65" s="109" t="n">
        <v>0</v>
      </c>
      <c r="J65" s="109" t="n">
        <v>210</v>
      </c>
      <c r="K65" s="109" t="n">
        <v>197</v>
      </c>
      <c r="L65" s="109" t="n">
        <v>233</v>
      </c>
      <c r="M65" s="109" t="n">
        <v>77.6666666666667</v>
      </c>
    </row>
    <row r="66" ht="13.8" customHeight="1" s="113">
      <c r="A66" s="109" t="inlineStr">
        <is>
          <t>AC04860</t>
        </is>
      </c>
      <c r="B66" s="109" t="inlineStr">
        <is>
          <t>Alinity c</t>
        </is>
      </c>
      <c r="C66" s="109" t="inlineStr">
        <is>
          <t>CaC2-U</t>
        </is>
      </c>
      <c r="D66" s="109" t="n">
        <v>1442</v>
      </c>
      <c r="E66" s="109" t="n">
        <v>230</v>
      </c>
      <c r="F66" s="109" t="n">
        <v>212</v>
      </c>
      <c r="G66" s="109" t="n">
        <v>16</v>
      </c>
      <c r="H66" s="109" t="n">
        <v>10</v>
      </c>
      <c r="I66" s="109" t="n">
        <v>0</v>
      </c>
      <c r="J66" s="109" t="n">
        <v>179</v>
      </c>
      <c r="K66" s="109" t="n">
        <v>173</v>
      </c>
      <c r="L66" s="109" t="n">
        <v>409</v>
      </c>
      <c r="M66" s="109" t="n">
        <v>136.333333333333</v>
      </c>
    </row>
    <row r="67" ht="13.8" customHeight="1" s="113">
      <c r="A67" s="109" t="inlineStr">
        <is>
          <t>AC04860</t>
        </is>
      </c>
      <c r="B67" s="109" t="inlineStr">
        <is>
          <t>Alinity c</t>
        </is>
      </c>
      <c r="C67" s="109" t="inlineStr">
        <is>
          <t>CaC2-U</t>
        </is>
      </c>
      <c r="D67" s="109" t="n">
        <v>1442</v>
      </c>
      <c r="E67" s="109" t="n">
        <v>10</v>
      </c>
      <c r="F67" s="109" t="n">
        <v>7</v>
      </c>
      <c r="G67" s="109" t="n">
        <v>2</v>
      </c>
      <c r="H67" s="109" t="n">
        <v>3</v>
      </c>
      <c r="I67" s="109" t="n">
        <v>0</v>
      </c>
      <c r="J67" s="109" t="n">
        <v>185</v>
      </c>
      <c r="K67" s="109" t="n">
        <v>181</v>
      </c>
      <c r="L67" s="109" t="n">
        <v>195</v>
      </c>
      <c r="M67" s="109" t="n">
        <v>65</v>
      </c>
    </row>
    <row r="68" ht="13.8" customHeight="1" s="113">
      <c r="A68" s="109" t="inlineStr">
        <is>
          <t>AC04860</t>
        </is>
      </c>
      <c r="B68" s="109" t="inlineStr">
        <is>
          <t>Alinity c</t>
        </is>
      </c>
      <c r="C68" s="109" t="inlineStr">
        <is>
          <t>Carb</t>
        </is>
      </c>
      <c r="D68" s="109" t="n">
        <v>1882</v>
      </c>
      <c r="E68" s="109" t="n">
        <v>28</v>
      </c>
      <c r="F68" s="109" t="n">
        <v>28</v>
      </c>
      <c r="G68" s="109" t="n">
        <v>1</v>
      </c>
      <c r="H68" s="109" t="n">
        <v>0</v>
      </c>
      <c r="I68" s="109" t="n">
        <v>240</v>
      </c>
      <c r="J68" s="109" t="n">
        <v>216</v>
      </c>
      <c r="K68" s="109" t="n">
        <v>192</v>
      </c>
      <c r="L68" s="109" t="n">
        <v>484</v>
      </c>
      <c r="M68" s="109" t="n">
        <v>161.333333333333</v>
      </c>
    </row>
    <row r="69" ht="13.8" customHeight="1" s="113">
      <c r="A69" s="109" t="inlineStr">
        <is>
          <t>AC04860</t>
        </is>
      </c>
      <c r="B69" s="109" t="inlineStr">
        <is>
          <t>Alinity c</t>
        </is>
      </c>
      <c r="C69" s="109" t="inlineStr">
        <is>
          <t>Carb</t>
        </is>
      </c>
      <c r="D69" s="109" t="n">
        <v>1882</v>
      </c>
      <c r="E69" s="109" t="n">
        <v>0</v>
      </c>
      <c r="F69" s="109" t="n">
        <v>0</v>
      </c>
      <c r="G69" s="109" t="n">
        <v>0</v>
      </c>
      <c r="H69" s="109" t="n">
        <v>0</v>
      </c>
      <c r="I69" s="109" t="n">
        <v>12</v>
      </c>
      <c r="J69" s="109" t="n">
        <v>4</v>
      </c>
      <c r="K69" s="109" t="n">
        <v>4</v>
      </c>
      <c r="L69" s="109" t="n">
        <v>16</v>
      </c>
      <c r="M69" s="109" t="n">
        <v>5.33333333333333</v>
      </c>
    </row>
    <row r="70" ht="13.8" customHeight="1" s="113">
      <c r="A70" s="109" t="inlineStr">
        <is>
          <t>AI22529</t>
        </is>
      </c>
      <c r="B70" s="109" t="inlineStr">
        <is>
          <t>Alinity i</t>
        </is>
      </c>
      <c r="C70" s="109" t="inlineStr">
        <is>
          <t>CEA</t>
        </is>
      </c>
      <c r="D70" s="109" t="n">
        <v>47</v>
      </c>
      <c r="E70" s="109" t="n">
        <v>1988</v>
      </c>
      <c r="F70" s="109" t="n">
        <v>1777</v>
      </c>
      <c r="G70" s="109" t="n">
        <v>143</v>
      </c>
      <c r="H70" s="109" t="n">
        <v>2</v>
      </c>
      <c r="I70" s="109" t="n">
        <v>8</v>
      </c>
      <c r="J70" s="109" t="n">
        <v>372</v>
      </c>
      <c r="K70" s="109" t="n">
        <v>316</v>
      </c>
      <c r="L70" s="109" t="n">
        <v>2368</v>
      </c>
      <c r="M70" s="109" t="n">
        <v>789.333333333333</v>
      </c>
    </row>
    <row r="71" ht="13.8" customHeight="1" s="113">
      <c r="A71" s="109" t="inlineStr">
        <is>
          <t>AC04860</t>
        </is>
      </c>
      <c r="B71" s="109" t="inlineStr">
        <is>
          <t>Alinity c</t>
        </is>
      </c>
      <c r="C71" s="109" t="inlineStr">
        <is>
          <t>Cerulo</t>
        </is>
      </c>
      <c r="D71" s="109" t="n">
        <v>1966</v>
      </c>
      <c r="E71" s="109" t="n">
        <v>50</v>
      </c>
      <c r="F71" s="109" t="n">
        <v>46</v>
      </c>
      <c r="G71" s="109" t="n">
        <v>2</v>
      </c>
      <c r="H71" s="109" t="n">
        <v>0</v>
      </c>
      <c r="I71" s="109" t="n">
        <v>132</v>
      </c>
      <c r="J71" s="109" t="n">
        <v>218</v>
      </c>
      <c r="K71" s="109" t="n">
        <v>197</v>
      </c>
      <c r="L71" s="109" t="n">
        <v>400</v>
      </c>
      <c r="M71" s="109" t="n">
        <v>133.333333333333</v>
      </c>
    </row>
    <row r="72" ht="13.8" customHeight="1" s="113">
      <c r="A72" s="109" t="inlineStr">
        <is>
          <t>AC04860</t>
        </is>
      </c>
      <c r="B72" s="109" t="inlineStr">
        <is>
          <t>Alinity c</t>
        </is>
      </c>
      <c r="C72" s="109" t="inlineStr">
        <is>
          <t>CHE</t>
        </is>
      </c>
      <c r="D72" s="109" t="n">
        <v>1972</v>
      </c>
      <c r="E72" s="109" t="n">
        <v>242</v>
      </c>
      <c r="F72" s="109" t="n">
        <v>235</v>
      </c>
      <c r="G72" s="109" t="n">
        <v>4</v>
      </c>
      <c r="H72" s="109" t="n">
        <v>0</v>
      </c>
      <c r="I72" s="109" t="n">
        <v>12</v>
      </c>
      <c r="J72" s="109" t="n">
        <v>62</v>
      </c>
      <c r="K72" s="109" t="n">
        <v>58</v>
      </c>
      <c r="L72" s="109" t="n">
        <v>316</v>
      </c>
      <c r="M72" s="109" t="n">
        <v>105.333333333333</v>
      </c>
    </row>
    <row r="73" ht="13.8" customHeight="1" s="113">
      <c r="A73" s="109" t="inlineStr">
        <is>
          <t>AC04860</t>
        </is>
      </c>
      <c r="B73" s="109" t="inlineStr">
        <is>
          <t>Alinity c</t>
        </is>
      </c>
      <c r="C73" s="109" t="inlineStr">
        <is>
          <t>CHE</t>
        </is>
      </c>
      <c r="D73" s="109" t="n">
        <v>1972</v>
      </c>
      <c r="E73" s="109" t="n">
        <v>3621</v>
      </c>
      <c r="F73" s="109" t="n">
        <v>3487</v>
      </c>
      <c r="G73" s="109" t="n">
        <v>87</v>
      </c>
      <c r="H73" s="109" t="n">
        <v>0</v>
      </c>
      <c r="I73" s="109" t="n">
        <v>30</v>
      </c>
      <c r="J73" s="109" t="n">
        <v>258</v>
      </c>
      <c r="K73" s="109" t="n">
        <v>246</v>
      </c>
      <c r="L73" s="109" t="n">
        <v>3909</v>
      </c>
      <c r="M73" s="109" t="n">
        <v>1303</v>
      </c>
    </row>
    <row r="74" ht="13.8" customHeight="1" s="113">
      <c r="A74" s="109" t="inlineStr">
        <is>
          <t>AC04860</t>
        </is>
      </c>
      <c r="B74" s="109" t="inlineStr">
        <is>
          <t>Alinity c</t>
        </is>
      </c>
      <c r="C74" s="109" t="inlineStr">
        <is>
          <t>CHE</t>
        </is>
      </c>
      <c r="D74" s="109" t="n">
        <v>1972</v>
      </c>
      <c r="E74" s="109" t="n">
        <v>2084</v>
      </c>
      <c r="F74" s="109" t="n">
        <v>1928</v>
      </c>
      <c r="G74" s="109" t="n">
        <v>132</v>
      </c>
      <c r="H74" s="109" t="n">
        <v>0</v>
      </c>
      <c r="I74" s="109" t="n">
        <v>18</v>
      </c>
      <c r="J74" s="109" t="n">
        <v>249</v>
      </c>
      <c r="K74" s="109" t="n">
        <v>239</v>
      </c>
      <c r="L74" s="109" t="n">
        <v>2351</v>
      </c>
      <c r="M74" s="109" t="n">
        <v>783.666666666667</v>
      </c>
    </row>
    <row r="75" ht="13.8" customHeight="1" s="113">
      <c r="A75" s="109" t="inlineStr">
        <is>
          <t>AC04860</t>
        </is>
      </c>
      <c r="B75" s="109" t="inlineStr">
        <is>
          <t>Alinity c</t>
        </is>
      </c>
      <c r="C75" s="109" t="inlineStr">
        <is>
          <t>Chol2</t>
        </is>
      </c>
      <c r="D75" s="109" t="n">
        <v>1456</v>
      </c>
      <c r="E75" s="109" t="n">
        <v>12584</v>
      </c>
      <c r="F75" s="109" t="n">
        <v>10701</v>
      </c>
      <c r="G75" s="109" t="n">
        <v>1577</v>
      </c>
      <c r="H75" s="109" t="n">
        <v>0</v>
      </c>
      <c r="I75" s="109" t="n">
        <v>44</v>
      </c>
      <c r="J75" s="109" t="n">
        <v>291</v>
      </c>
      <c r="K75" s="109" t="n">
        <v>261</v>
      </c>
      <c r="L75" s="109" t="n">
        <v>12919</v>
      </c>
      <c r="M75" s="109" t="n">
        <v>4306.33333333333</v>
      </c>
    </row>
    <row r="76" ht="13.8" customHeight="1" s="113">
      <c r="A76" s="109" t="inlineStr">
        <is>
          <t>AC04860</t>
        </is>
      </c>
      <c r="B76" s="109" t="inlineStr">
        <is>
          <t>Alinity c</t>
        </is>
      </c>
      <c r="C76" s="109" t="inlineStr">
        <is>
          <t>Chol2</t>
        </is>
      </c>
      <c r="D76" s="109" t="n">
        <v>1456</v>
      </c>
      <c r="E76" s="109" t="n">
        <v>1451</v>
      </c>
      <c r="F76" s="109" t="n">
        <v>1425</v>
      </c>
      <c r="G76" s="109" t="n">
        <v>18</v>
      </c>
      <c r="H76" s="109" t="n">
        <v>0</v>
      </c>
      <c r="I76" s="109" t="n">
        <v>50</v>
      </c>
      <c r="J76" s="109" t="n">
        <v>150</v>
      </c>
      <c r="K76" s="109" t="n">
        <v>144</v>
      </c>
      <c r="L76" s="109" t="n">
        <v>1651</v>
      </c>
      <c r="M76" s="109" t="n">
        <v>550.333333333333</v>
      </c>
    </row>
    <row r="77" ht="13.8" customHeight="1" s="113">
      <c r="A77" s="109" t="inlineStr">
        <is>
          <t>AC04860</t>
        </is>
      </c>
      <c r="B77" s="109" t="inlineStr">
        <is>
          <t>Alinity c</t>
        </is>
      </c>
      <c r="C77" s="109" t="inlineStr">
        <is>
          <t>Chol2</t>
        </is>
      </c>
      <c r="D77" s="109" t="n">
        <v>1456</v>
      </c>
      <c r="E77" s="109" t="n">
        <v>11742</v>
      </c>
      <c r="F77" s="109" t="n">
        <v>10667</v>
      </c>
      <c r="G77" s="109" t="n">
        <v>784</v>
      </c>
      <c r="H77" s="109" t="n">
        <v>0</v>
      </c>
      <c r="I77" s="109" t="n">
        <v>58</v>
      </c>
      <c r="J77" s="109" t="n">
        <v>236</v>
      </c>
      <c r="K77" s="109" t="n">
        <v>228</v>
      </c>
      <c r="L77" s="109" t="n">
        <v>12036</v>
      </c>
      <c r="M77" s="109" t="n">
        <v>4012</v>
      </c>
    </row>
    <row r="78" ht="13.8" customHeight="1" s="113">
      <c r="A78" s="109" t="inlineStr">
        <is>
          <t>AC04860</t>
        </is>
      </c>
      <c r="B78" s="109" t="inlineStr">
        <is>
          <t>Alinity c</t>
        </is>
      </c>
      <c r="C78" s="109" t="inlineStr">
        <is>
          <t>CK</t>
        </is>
      </c>
      <c r="D78" s="109" t="n">
        <v>1226</v>
      </c>
      <c r="E78" s="109" t="n">
        <v>4309</v>
      </c>
      <c r="F78" s="109" t="n">
        <v>3788</v>
      </c>
      <c r="G78" s="109" t="n">
        <v>399</v>
      </c>
      <c r="H78" s="109" t="n">
        <v>10</v>
      </c>
      <c r="I78" s="109" t="n">
        <v>12</v>
      </c>
      <c r="J78" s="109" t="n">
        <v>310</v>
      </c>
      <c r="K78" s="109" t="n">
        <v>283</v>
      </c>
      <c r="L78" s="109" t="n">
        <v>4631</v>
      </c>
      <c r="M78" s="109" t="n">
        <v>1543.66666666667</v>
      </c>
    </row>
    <row r="79" ht="13.8" customHeight="1" s="113">
      <c r="A79" s="109" t="inlineStr">
        <is>
          <t>AC04860</t>
        </is>
      </c>
      <c r="B79" s="109" t="inlineStr">
        <is>
          <t>Alinity c</t>
        </is>
      </c>
      <c r="C79" s="109" t="inlineStr">
        <is>
          <t>CK</t>
        </is>
      </c>
      <c r="D79" s="109" t="n">
        <v>1226</v>
      </c>
      <c r="E79" s="109" t="n">
        <v>6447</v>
      </c>
      <c r="F79" s="109" t="n">
        <v>6111</v>
      </c>
      <c r="G79" s="109" t="n">
        <v>268</v>
      </c>
      <c r="H79" s="109" t="n">
        <v>19</v>
      </c>
      <c r="I79" s="109" t="n">
        <v>9</v>
      </c>
      <c r="J79" s="109" t="n">
        <v>296</v>
      </c>
      <c r="K79" s="109" t="n">
        <v>277</v>
      </c>
      <c r="L79" s="109" t="n">
        <v>6752</v>
      </c>
      <c r="M79" s="109" t="n">
        <v>2250.66666666667</v>
      </c>
    </row>
    <row r="80" ht="13.8" customHeight="1" s="113">
      <c r="A80" s="109" t="inlineStr">
        <is>
          <t>AC04860</t>
        </is>
      </c>
      <c r="B80" s="109" t="inlineStr">
        <is>
          <t>Alinity c</t>
        </is>
      </c>
      <c r="C80" s="109" t="inlineStr">
        <is>
          <t>CK</t>
        </is>
      </c>
      <c r="D80" s="109" t="n">
        <v>1226</v>
      </c>
      <c r="E80" s="109" t="n">
        <v>4874</v>
      </c>
      <c r="F80" s="109" t="n">
        <v>4322</v>
      </c>
      <c r="G80" s="109" t="n">
        <v>398</v>
      </c>
      <c r="H80" s="109" t="n">
        <v>5</v>
      </c>
      <c r="I80" s="109" t="n">
        <v>15</v>
      </c>
      <c r="J80" s="109" t="n">
        <v>296</v>
      </c>
      <c r="K80" s="109" t="n">
        <v>284</v>
      </c>
      <c r="L80" s="109" t="n">
        <v>5185</v>
      </c>
      <c r="M80" s="109" t="n">
        <v>1728.33333333333</v>
      </c>
    </row>
    <row r="81" ht="13.8" customHeight="1" s="113">
      <c r="A81" s="109" t="inlineStr">
        <is>
          <t>AI22529</t>
        </is>
      </c>
      <c r="B81" s="109" t="inlineStr">
        <is>
          <t>Alinity i</t>
        </is>
      </c>
      <c r="C81" s="109" t="inlineStr">
        <is>
          <t>CK-MB STAT</t>
        </is>
      </c>
      <c r="D81" s="109" t="n">
        <v>392</v>
      </c>
      <c r="E81" s="109" t="n">
        <v>667</v>
      </c>
      <c r="F81" s="109" t="n">
        <v>636</v>
      </c>
      <c r="G81" s="109" t="n">
        <v>16</v>
      </c>
      <c r="H81" s="109" t="n">
        <v>1</v>
      </c>
      <c r="I81" s="109" t="n">
        <v>12</v>
      </c>
      <c r="J81" s="109" t="n">
        <v>219</v>
      </c>
      <c r="K81" s="109" t="n">
        <v>204</v>
      </c>
      <c r="L81" s="109" t="n">
        <v>898</v>
      </c>
      <c r="M81" s="109" t="n">
        <v>299.333333333333</v>
      </c>
    </row>
    <row r="82" ht="13.8" customHeight="1" s="113">
      <c r="A82" s="109" t="inlineStr">
        <is>
          <t>AI22529</t>
        </is>
      </c>
      <c r="B82" s="109" t="inlineStr">
        <is>
          <t>Alinity i</t>
        </is>
      </c>
      <c r="C82" s="109" t="inlineStr">
        <is>
          <t>CK-MB STAT</t>
        </is>
      </c>
      <c r="D82" s="109" t="n">
        <v>392</v>
      </c>
      <c r="E82" s="109" t="n">
        <v>3129</v>
      </c>
      <c r="F82" s="109" t="n">
        <v>3035</v>
      </c>
      <c r="G82" s="109" t="n">
        <v>98</v>
      </c>
      <c r="H82" s="109" t="n">
        <v>7</v>
      </c>
      <c r="I82" s="109" t="n">
        <v>24</v>
      </c>
      <c r="J82" s="109" t="n">
        <v>243</v>
      </c>
      <c r="K82" s="109" t="n">
        <v>222</v>
      </c>
      <c r="L82" s="109" t="n">
        <v>3396</v>
      </c>
      <c r="M82" s="109" t="n">
        <v>1132</v>
      </c>
    </row>
    <row r="83" ht="13.8" customHeight="1" s="113">
      <c r="A83" s="109" t="inlineStr">
        <is>
          <t>AC04860</t>
        </is>
      </c>
      <c r="B83" s="109" t="inlineStr">
        <is>
          <t>Alinity c</t>
        </is>
      </c>
      <c r="C83" s="109" t="inlineStr">
        <is>
          <t>Cl-C</t>
        </is>
      </c>
      <c r="D83" s="109" t="n">
        <v>1103</v>
      </c>
      <c r="E83" s="109" t="n">
        <v>5564</v>
      </c>
      <c r="F83" s="109" t="n">
        <v>5014</v>
      </c>
      <c r="G83" s="109" t="n">
        <v>506</v>
      </c>
      <c r="H83" s="109" t="n">
        <v>0</v>
      </c>
      <c r="I83" s="109" t="n">
        <v>738</v>
      </c>
      <c r="J83" s="109" t="n">
        <v>313</v>
      </c>
      <c r="K83" s="109" t="n">
        <v>285</v>
      </c>
      <c r="L83" s="109" t="n">
        <v>6615</v>
      </c>
      <c r="M83" s="109" t="n">
        <v>2205</v>
      </c>
    </row>
    <row r="84" ht="13.8" customHeight="1" s="113">
      <c r="A84" s="109" t="inlineStr">
        <is>
          <t>AC04860</t>
        </is>
      </c>
      <c r="B84" s="109" t="inlineStr">
        <is>
          <t>Alinity c</t>
        </is>
      </c>
      <c r="C84" s="109" t="inlineStr">
        <is>
          <t>Cl-C</t>
        </is>
      </c>
      <c r="D84" s="109" t="n">
        <v>1103</v>
      </c>
      <c r="E84" s="109" t="n">
        <v>6679</v>
      </c>
      <c r="F84" s="109" t="n">
        <v>6475</v>
      </c>
      <c r="G84" s="109" t="n">
        <v>194</v>
      </c>
      <c r="H84" s="109" t="n">
        <v>0</v>
      </c>
      <c r="I84" s="109" t="n">
        <v>606</v>
      </c>
      <c r="J84" s="109" t="n">
        <v>291</v>
      </c>
      <c r="K84" s="109" t="n">
        <v>274</v>
      </c>
      <c r="L84" s="109" t="n">
        <v>7576</v>
      </c>
      <c r="M84" s="109" t="n">
        <v>2525.33333333333</v>
      </c>
    </row>
    <row r="85" ht="13.8" customHeight="1" s="113">
      <c r="A85" s="109" t="inlineStr">
        <is>
          <t>AC04860</t>
        </is>
      </c>
      <c r="B85" s="109" t="inlineStr">
        <is>
          <t>Alinity c</t>
        </is>
      </c>
      <c r="C85" s="109" t="inlineStr">
        <is>
          <t>Cl-C</t>
        </is>
      </c>
      <c r="D85" s="109" t="n">
        <v>1103</v>
      </c>
      <c r="E85" s="109" t="n">
        <v>5577</v>
      </c>
      <c r="F85" s="109" t="n">
        <v>5002</v>
      </c>
      <c r="G85" s="109" t="n">
        <v>465</v>
      </c>
      <c r="H85" s="109" t="n">
        <v>0</v>
      </c>
      <c r="I85" s="109" t="n">
        <v>696</v>
      </c>
      <c r="J85" s="109" t="n">
        <v>276</v>
      </c>
      <c r="K85" s="109" t="n">
        <v>266</v>
      </c>
      <c r="L85" s="109" t="n">
        <v>6549</v>
      </c>
      <c r="M85" s="109" t="n">
        <v>2183</v>
      </c>
    </row>
    <row r="86" ht="13.8" customHeight="1" s="113">
      <c r="A86" s="109" t="inlineStr">
        <is>
          <t>AC04860</t>
        </is>
      </c>
      <c r="B86" s="109" t="inlineStr">
        <is>
          <t>Alinity c</t>
        </is>
      </c>
      <c r="C86" s="109" t="inlineStr">
        <is>
          <t>Cl-CU</t>
        </is>
      </c>
      <c r="D86" s="109" t="n">
        <v>1135</v>
      </c>
      <c r="E86" s="109" t="n">
        <v>2</v>
      </c>
      <c r="F86" s="109" t="n">
        <v>2</v>
      </c>
      <c r="G86" s="109" t="n">
        <v>0</v>
      </c>
      <c r="H86" s="109" t="n">
        <v>0</v>
      </c>
      <c r="I86" s="109" t="n">
        <v>714</v>
      </c>
      <c r="J86" s="109" t="n">
        <v>253</v>
      </c>
      <c r="K86" s="109" t="n">
        <v>228</v>
      </c>
      <c r="L86" s="109" t="n">
        <v>969</v>
      </c>
      <c r="M86" s="109" t="n">
        <v>323</v>
      </c>
    </row>
    <row r="87" ht="13.8" customHeight="1" s="113">
      <c r="A87" s="109" t="inlineStr">
        <is>
          <t>AC04860</t>
        </is>
      </c>
      <c r="B87" s="109" t="inlineStr">
        <is>
          <t>Alinity c</t>
        </is>
      </c>
      <c r="C87" s="109" t="inlineStr">
        <is>
          <t>Cl-CU</t>
        </is>
      </c>
      <c r="D87" s="109" t="n">
        <v>1135</v>
      </c>
      <c r="E87" s="109" t="n">
        <v>46</v>
      </c>
      <c r="F87" s="109" t="n">
        <v>46</v>
      </c>
      <c r="G87" s="109" t="n">
        <v>1</v>
      </c>
      <c r="H87" s="109" t="n">
        <v>0</v>
      </c>
      <c r="I87" s="109" t="n">
        <v>576</v>
      </c>
      <c r="J87" s="109" t="n">
        <v>242</v>
      </c>
      <c r="K87" s="109" t="n">
        <v>227</v>
      </c>
      <c r="L87" s="109" t="n">
        <v>864</v>
      </c>
      <c r="M87" s="109" t="n">
        <v>288</v>
      </c>
    </row>
    <row r="88" ht="13.8" customHeight="1" s="113">
      <c r="A88" s="109" t="inlineStr">
        <is>
          <t>AC04860</t>
        </is>
      </c>
      <c r="B88" s="109" t="inlineStr">
        <is>
          <t>Alinity c</t>
        </is>
      </c>
      <c r="C88" s="109" t="inlineStr">
        <is>
          <t>Cl-CU</t>
        </is>
      </c>
      <c r="D88" s="109" t="n">
        <v>1135</v>
      </c>
      <c r="E88" s="109" t="n">
        <v>2</v>
      </c>
      <c r="F88" s="109" t="n">
        <v>1</v>
      </c>
      <c r="G88" s="109" t="n">
        <v>0</v>
      </c>
      <c r="H88" s="109" t="n">
        <v>0</v>
      </c>
      <c r="I88" s="109" t="n">
        <v>702</v>
      </c>
      <c r="J88" s="109" t="n">
        <v>237</v>
      </c>
      <c r="K88" s="109" t="n">
        <v>229</v>
      </c>
      <c r="L88" s="109" t="n">
        <v>941</v>
      </c>
      <c r="M88" s="109" t="n">
        <v>313.666666666667</v>
      </c>
    </row>
    <row r="89" ht="13.8" customHeight="1" s="113">
      <c r="A89" s="109" t="inlineStr">
        <is>
          <t>AC04860</t>
        </is>
      </c>
      <c r="B89" s="109" t="inlineStr">
        <is>
          <t>Alinity c</t>
        </is>
      </c>
      <c r="C89" s="109" t="inlineStr">
        <is>
          <t>CocSQ1</t>
        </is>
      </c>
      <c r="D89" s="109" t="n">
        <v>1880</v>
      </c>
      <c r="E89" s="109" t="n">
        <v>2055</v>
      </c>
      <c r="F89" s="109" t="n">
        <v>1994</v>
      </c>
      <c r="G89" s="109" t="n">
        <v>61</v>
      </c>
      <c r="H89" s="109" t="n">
        <v>0</v>
      </c>
      <c r="I89" s="109" t="n">
        <v>90</v>
      </c>
      <c r="J89" s="109" t="n">
        <v>212</v>
      </c>
      <c r="K89" s="109" t="n">
        <v>205</v>
      </c>
      <c r="L89" s="109" t="n">
        <v>2357</v>
      </c>
      <c r="M89" s="109" t="n">
        <v>785.666666666667</v>
      </c>
    </row>
    <row r="90" ht="13.8" customHeight="1" s="113">
      <c r="A90" s="109" t="inlineStr">
        <is>
          <t>AC04860</t>
        </is>
      </c>
      <c r="B90" s="109" t="inlineStr">
        <is>
          <t>Alinity c</t>
        </is>
      </c>
      <c r="C90" s="109" t="inlineStr">
        <is>
          <t>CocSQ1</t>
        </is>
      </c>
      <c r="D90" s="109" t="n">
        <v>1880</v>
      </c>
      <c r="E90" s="109" t="n">
        <v>12</v>
      </c>
      <c r="F90" s="109" t="n">
        <v>12</v>
      </c>
      <c r="G90" s="109" t="n">
        <v>0</v>
      </c>
      <c r="H90" s="109" t="n">
        <v>0</v>
      </c>
      <c r="I90" s="109" t="n">
        <v>40</v>
      </c>
      <c r="J90" s="109" t="n">
        <v>3</v>
      </c>
      <c r="K90" s="109" t="n">
        <v>2</v>
      </c>
      <c r="L90" s="109" t="n">
        <v>55</v>
      </c>
      <c r="M90" s="109" t="n">
        <v>18.3333333333333</v>
      </c>
    </row>
    <row r="91" ht="13.8" customHeight="1" s="113">
      <c r="A91" s="109" t="inlineStr">
        <is>
          <t>AI22529</t>
        </is>
      </c>
      <c r="B91" s="109" t="inlineStr">
        <is>
          <t>Alinity i</t>
        </is>
      </c>
      <c r="C91" s="109" t="inlineStr">
        <is>
          <t>Cortisol</t>
        </is>
      </c>
      <c r="D91" s="109" t="n">
        <v>607</v>
      </c>
      <c r="E91" s="109" t="n">
        <v>626</v>
      </c>
      <c r="F91" s="109" t="n">
        <v>551</v>
      </c>
      <c r="G91" s="109" t="n">
        <v>49</v>
      </c>
      <c r="H91" s="109" t="n">
        <v>0</v>
      </c>
      <c r="I91" s="109" t="n">
        <v>24</v>
      </c>
      <c r="J91" s="109" t="n">
        <v>343</v>
      </c>
      <c r="K91" s="109" t="n">
        <v>197</v>
      </c>
      <c r="L91" s="109" t="n">
        <v>993</v>
      </c>
      <c r="M91" s="109" t="n">
        <v>331</v>
      </c>
    </row>
    <row r="92" ht="13.8" customHeight="1" s="113">
      <c r="A92" s="109" t="inlineStr">
        <is>
          <t>AI22529</t>
        </is>
      </c>
      <c r="B92" s="109" t="inlineStr">
        <is>
          <t>Alinity i</t>
        </is>
      </c>
      <c r="C92" s="109" t="inlineStr">
        <is>
          <t>C-Peptide</t>
        </is>
      </c>
      <c r="D92" s="109" t="n">
        <v>699</v>
      </c>
      <c r="E92" s="109" t="n">
        <v>121</v>
      </c>
      <c r="F92" s="109" t="n">
        <v>115</v>
      </c>
      <c r="G92" s="109" t="n">
        <v>7</v>
      </c>
      <c r="H92" s="109" t="n">
        <v>0</v>
      </c>
      <c r="I92" s="109" t="n">
        <v>24</v>
      </c>
      <c r="J92" s="109" t="n">
        <v>310</v>
      </c>
      <c r="K92" s="109" t="n">
        <v>189</v>
      </c>
      <c r="L92" s="109" t="n">
        <v>455</v>
      </c>
      <c r="M92" s="109" t="n">
        <v>151.666666666667</v>
      </c>
    </row>
    <row r="93" ht="13.8" customHeight="1" s="113">
      <c r="A93" s="109" t="inlineStr">
        <is>
          <t>AC04860</t>
        </is>
      </c>
      <c r="B93" s="109" t="inlineStr">
        <is>
          <t>Alinity c</t>
        </is>
      </c>
      <c r="C93" s="109" t="inlineStr">
        <is>
          <t>CrEnz</t>
        </is>
      </c>
      <c r="D93" s="109" t="n">
        <v>1977</v>
      </c>
      <c r="E93" s="109" t="n">
        <v>19121</v>
      </c>
      <c r="F93" s="109" t="n">
        <v>16447</v>
      </c>
      <c r="G93" s="109" t="n">
        <v>2247</v>
      </c>
      <c r="H93" s="109" t="n">
        <v>0</v>
      </c>
      <c r="I93" s="109" t="n">
        <v>132</v>
      </c>
      <c r="J93" s="109" t="n">
        <v>419</v>
      </c>
      <c r="K93" s="109" t="n">
        <v>385</v>
      </c>
      <c r="L93" s="109" t="n">
        <v>19672</v>
      </c>
      <c r="M93" s="109" t="n">
        <v>6557.33333333333</v>
      </c>
    </row>
    <row r="94" ht="13.8" customHeight="1" s="113">
      <c r="A94" s="109" t="inlineStr">
        <is>
          <t>AC04860</t>
        </is>
      </c>
      <c r="B94" s="109" t="inlineStr">
        <is>
          <t>Alinity c</t>
        </is>
      </c>
      <c r="C94" s="109" t="inlineStr">
        <is>
          <t>CrEnz</t>
        </is>
      </c>
      <c r="D94" s="109" t="n">
        <v>1977</v>
      </c>
      <c r="E94" s="109" t="n">
        <v>13637</v>
      </c>
      <c r="F94" s="109" t="n">
        <v>13111</v>
      </c>
      <c r="G94" s="109" t="n">
        <v>441</v>
      </c>
      <c r="H94" s="109" t="n">
        <v>0</v>
      </c>
      <c r="I94" s="109" t="n">
        <v>108</v>
      </c>
      <c r="J94" s="109" t="n">
        <v>381</v>
      </c>
      <c r="K94" s="109" t="n">
        <v>362</v>
      </c>
      <c r="L94" s="109" t="n">
        <v>14126</v>
      </c>
      <c r="M94" s="109" t="n">
        <v>4708.66666666667</v>
      </c>
    </row>
    <row r="95" ht="13.8" customHeight="1" s="113">
      <c r="A95" s="109" t="inlineStr">
        <is>
          <t>AC04860</t>
        </is>
      </c>
      <c r="B95" s="109" t="inlineStr">
        <is>
          <t>Alinity c</t>
        </is>
      </c>
      <c r="C95" s="109" t="inlineStr">
        <is>
          <t>CrEnz</t>
        </is>
      </c>
      <c r="D95" s="109" t="n">
        <v>1977</v>
      </c>
      <c r="E95" s="109" t="n">
        <v>19355</v>
      </c>
      <c r="F95" s="109" t="n">
        <v>17339</v>
      </c>
      <c r="G95" s="109" t="n">
        <v>1466</v>
      </c>
      <c r="H95" s="109" t="n">
        <v>0</v>
      </c>
      <c r="I95" s="109" t="n">
        <v>138</v>
      </c>
      <c r="J95" s="109" t="n">
        <v>366</v>
      </c>
      <c r="K95" s="109" t="n">
        <v>352</v>
      </c>
      <c r="L95" s="109" t="n">
        <v>19859</v>
      </c>
      <c r="M95" s="109" t="n">
        <v>6619.66666666667</v>
      </c>
    </row>
    <row r="96" ht="13.8" customHeight="1" s="113">
      <c r="A96" s="109" t="inlineStr">
        <is>
          <t>AC04860</t>
        </is>
      </c>
      <c r="B96" s="109" t="inlineStr">
        <is>
          <t>Alinity c</t>
        </is>
      </c>
      <c r="C96" s="109" t="inlineStr">
        <is>
          <t>CrEnzU</t>
        </is>
      </c>
      <c r="D96" s="109" t="n">
        <v>1978</v>
      </c>
      <c r="E96" s="109" t="n">
        <v>327</v>
      </c>
      <c r="F96" s="109" t="n">
        <v>296</v>
      </c>
      <c r="G96" s="109" t="n">
        <v>9</v>
      </c>
      <c r="H96" s="109" t="n">
        <v>0</v>
      </c>
      <c r="I96" s="109" t="n">
        <v>0</v>
      </c>
      <c r="J96" s="109" t="n">
        <v>339</v>
      </c>
      <c r="K96" s="109" t="n">
        <v>316</v>
      </c>
      <c r="L96" s="109" t="n">
        <v>666</v>
      </c>
      <c r="M96" s="109" t="n">
        <v>222</v>
      </c>
    </row>
    <row r="97" ht="13.8" customHeight="1" s="113">
      <c r="A97" s="109" t="inlineStr">
        <is>
          <t>AC04860</t>
        </is>
      </c>
      <c r="B97" s="109" t="inlineStr">
        <is>
          <t>Alinity c</t>
        </is>
      </c>
      <c r="C97" s="109" t="inlineStr">
        <is>
          <t>CrEnzU</t>
        </is>
      </c>
      <c r="D97" s="109" t="n">
        <v>1978</v>
      </c>
      <c r="E97" s="109" t="n">
        <v>5882</v>
      </c>
      <c r="F97" s="109" t="n">
        <v>5656</v>
      </c>
      <c r="G97" s="109" t="n">
        <v>228</v>
      </c>
      <c r="H97" s="109" t="n">
        <v>0</v>
      </c>
      <c r="I97" s="109" t="n">
        <v>0</v>
      </c>
      <c r="J97" s="109" t="n">
        <v>306</v>
      </c>
      <c r="K97" s="109" t="n">
        <v>294</v>
      </c>
      <c r="L97" s="109" t="n">
        <v>6188</v>
      </c>
      <c r="M97" s="109" t="n">
        <v>2062.66666666667</v>
      </c>
    </row>
    <row r="98" ht="13.8" customHeight="1" s="113">
      <c r="A98" s="109" t="inlineStr">
        <is>
          <t>AC04860</t>
        </is>
      </c>
      <c r="B98" s="109" t="inlineStr">
        <is>
          <t>Alinity c</t>
        </is>
      </c>
      <c r="C98" s="109" t="inlineStr">
        <is>
          <t>CrEnzU</t>
        </is>
      </c>
      <c r="D98" s="109" t="n">
        <v>1978</v>
      </c>
      <c r="E98" s="109" t="n">
        <v>81</v>
      </c>
      <c r="F98" s="109" t="n">
        <v>64</v>
      </c>
      <c r="G98" s="109" t="n">
        <v>16</v>
      </c>
      <c r="H98" s="109" t="n">
        <v>0</v>
      </c>
      <c r="I98" s="109" t="n">
        <v>0</v>
      </c>
      <c r="J98" s="109" t="n">
        <v>325</v>
      </c>
      <c r="K98" s="109" t="n">
        <v>311</v>
      </c>
      <c r="L98" s="109" t="n">
        <v>406</v>
      </c>
      <c r="M98" s="109" t="n">
        <v>135.333333333333</v>
      </c>
    </row>
    <row r="99" ht="13.8" customHeight="1" s="113">
      <c r="A99" s="109" t="inlineStr">
        <is>
          <t>AC04860</t>
        </is>
      </c>
      <c r="B99" s="109" t="inlineStr">
        <is>
          <t>Alinity c</t>
        </is>
      </c>
      <c r="C99" s="109" t="inlineStr">
        <is>
          <t>CRP16</t>
        </is>
      </c>
      <c r="D99" s="109" t="n">
        <v>1974</v>
      </c>
      <c r="E99" s="109" t="n">
        <v>6876</v>
      </c>
      <c r="F99" s="109" t="n">
        <v>6068</v>
      </c>
      <c r="G99" s="109" t="n">
        <v>804</v>
      </c>
      <c r="H99" s="109" t="n">
        <v>205</v>
      </c>
      <c r="I99" s="109" t="n">
        <v>378</v>
      </c>
      <c r="J99" s="109" t="n">
        <v>326</v>
      </c>
      <c r="K99" s="109" t="n">
        <v>299</v>
      </c>
      <c r="L99" s="109" t="n">
        <v>7580</v>
      </c>
      <c r="M99" s="109" t="n">
        <v>2526.66666666667</v>
      </c>
    </row>
    <row r="100" ht="13.8" customHeight="1" s="113">
      <c r="A100" s="109" t="inlineStr">
        <is>
          <t>AC04860</t>
        </is>
      </c>
      <c r="B100" s="109" t="inlineStr">
        <is>
          <t>Alinity c</t>
        </is>
      </c>
      <c r="C100" s="109" t="inlineStr">
        <is>
          <t>CRP16</t>
        </is>
      </c>
      <c r="D100" s="109" t="n">
        <v>1974</v>
      </c>
      <c r="E100" s="109" t="n">
        <v>11202</v>
      </c>
      <c r="F100" s="109" t="n">
        <v>10849</v>
      </c>
      <c r="G100" s="109" t="n">
        <v>1091</v>
      </c>
      <c r="H100" s="109" t="n">
        <v>822</v>
      </c>
      <c r="I100" s="109" t="n">
        <v>238</v>
      </c>
      <c r="J100" s="109" t="n">
        <v>295</v>
      </c>
      <c r="K100" s="109" t="n">
        <v>264</v>
      </c>
      <c r="L100" s="109" t="n">
        <v>11735</v>
      </c>
      <c r="M100" s="109" t="n">
        <v>3911.66666666667</v>
      </c>
    </row>
    <row r="101" ht="13.8" customHeight="1" s="113">
      <c r="A101" s="109" t="inlineStr">
        <is>
          <t>AC04860</t>
        </is>
      </c>
      <c r="B101" s="109" t="inlineStr">
        <is>
          <t>Alinity c</t>
        </is>
      </c>
      <c r="C101" s="109" t="inlineStr">
        <is>
          <t>CRP16</t>
        </is>
      </c>
      <c r="D101" s="109" t="n">
        <v>1974</v>
      </c>
      <c r="E101" s="109" t="n">
        <v>7399</v>
      </c>
      <c r="F101" s="109" t="n">
        <v>6667</v>
      </c>
      <c r="G101" s="109" t="n">
        <v>771</v>
      </c>
      <c r="H101" s="109" t="n">
        <v>283</v>
      </c>
      <c r="I101" s="109" t="n">
        <v>378</v>
      </c>
      <c r="J101" s="109" t="n">
        <v>315</v>
      </c>
      <c r="K101" s="109" t="n">
        <v>302</v>
      </c>
      <c r="L101" s="109" t="n">
        <v>8092</v>
      </c>
      <c r="M101" s="109" t="n">
        <v>2697.33333333333</v>
      </c>
    </row>
    <row r="102" ht="13.8" customHeight="1" s="113">
      <c r="A102" s="109" t="inlineStr">
        <is>
          <t>AI22529</t>
        </is>
      </c>
      <c r="B102" s="109" t="inlineStr">
        <is>
          <t>Alinity i</t>
        </is>
      </c>
      <c r="C102" s="109" t="inlineStr">
        <is>
          <t>Cyclo</t>
        </is>
      </c>
      <c r="D102" s="109" t="n">
        <v>416</v>
      </c>
      <c r="E102" s="109" t="n">
        <v>69</v>
      </c>
      <c r="F102" s="109" t="n">
        <v>69</v>
      </c>
      <c r="G102" s="109" t="n">
        <v>2</v>
      </c>
      <c r="H102" s="109" t="n">
        <v>0</v>
      </c>
      <c r="I102" s="109" t="n">
        <v>12</v>
      </c>
      <c r="J102" s="109" t="n">
        <v>84</v>
      </c>
      <c r="K102" s="109" t="n">
        <v>83</v>
      </c>
      <c r="L102" s="109" t="n">
        <v>165</v>
      </c>
      <c r="M102" s="109" t="n">
        <v>55</v>
      </c>
    </row>
    <row r="103" ht="13.8" customHeight="1" s="113">
      <c r="A103" s="109" t="inlineStr">
        <is>
          <t>AI22529</t>
        </is>
      </c>
      <c r="B103" s="109" t="inlineStr">
        <is>
          <t>Alinity i</t>
        </is>
      </c>
      <c r="C103" s="109" t="inlineStr">
        <is>
          <t>DHEA-S</t>
        </is>
      </c>
      <c r="D103" s="109" t="n">
        <v>826</v>
      </c>
      <c r="E103" s="109" t="n">
        <v>232</v>
      </c>
      <c r="F103" s="109" t="n">
        <v>194</v>
      </c>
      <c r="G103" s="109" t="n">
        <v>24</v>
      </c>
      <c r="H103" s="109" t="n">
        <v>0</v>
      </c>
      <c r="I103" s="109" t="n">
        <v>0</v>
      </c>
      <c r="J103" s="109" t="n">
        <v>309</v>
      </c>
      <c r="K103" s="109" t="n">
        <v>171</v>
      </c>
      <c r="L103" s="109" t="n">
        <v>541</v>
      </c>
      <c r="M103" s="109" t="n">
        <v>180.333333333333</v>
      </c>
    </row>
    <row r="104" ht="13.8" customHeight="1" s="113">
      <c r="A104" s="109" t="inlineStr">
        <is>
          <t>AC04860</t>
        </is>
      </c>
      <c r="B104" s="109" t="inlineStr">
        <is>
          <t>Alinity c</t>
        </is>
      </c>
      <c r="C104" s="109" t="inlineStr">
        <is>
          <t>DIBCH</t>
        </is>
      </c>
      <c r="D104" s="109" t="n">
        <v>1982</v>
      </c>
      <c r="E104" s="109" t="n">
        <v>492</v>
      </c>
      <c r="F104" s="109" t="n">
        <v>476</v>
      </c>
      <c r="G104" s="109" t="n">
        <v>28</v>
      </c>
      <c r="H104" s="109" t="n">
        <v>0</v>
      </c>
      <c r="I104" s="109" t="n">
        <v>144</v>
      </c>
      <c r="J104" s="109" t="n">
        <v>263</v>
      </c>
      <c r="K104" s="109" t="n">
        <v>258</v>
      </c>
      <c r="L104" s="109" t="n">
        <v>899</v>
      </c>
      <c r="M104" s="109" t="n">
        <v>299.666666666667</v>
      </c>
    </row>
    <row r="105" ht="13.8" customHeight="1" s="113">
      <c r="A105" s="109" t="inlineStr">
        <is>
          <t>AC04860</t>
        </is>
      </c>
      <c r="B105" s="109" t="inlineStr">
        <is>
          <t>Alinity c</t>
        </is>
      </c>
      <c r="C105" s="109" t="inlineStr">
        <is>
          <t>DIBCH</t>
        </is>
      </c>
      <c r="D105" s="109" t="n">
        <v>1982</v>
      </c>
      <c r="E105" s="109" t="n">
        <v>836</v>
      </c>
      <c r="F105" s="109" t="n">
        <v>763</v>
      </c>
      <c r="G105" s="109" t="n">
        <v>61</v>
      </c>
      <c r="H105" s="109" t="n">
        <v>0</v>
      </c>
      <c r="I105" s="109" t="n">
        <v>150</v>
      </c>
      <c r="J105" s="109" t="n">
        <v>246</v>
      </c>
      <c r="K105" s="109" t="n">
        <v>240</v>
      </c>
      <c r="L105" s="109" t="n">
        <v>1232</v>
      </c>
      <c r="M105" s="109" t="n">
        <v>410.666666666667</v>
      </c>
    </row>
    <row r="106" ht="13.8" customHeight="1" s="113">
      <c r="A106" s="109" t="inlineStr">
        <is>
          <t>AC04860</t>
        </is>
      </c>
      <c r="B106" s="109" t="inlineStr">
        <is>
          <t>Alinity c</t>
        </is>
      </c>
      <c r="C106" s="109" t="inlineStr">
        <is>
          <t>Digoxin</t>
        </is>
      </c>
      <c r="D106" s="109" t="n">
        <v>1837</v>
      </c>
      <c r="E106" s="109" t="n">
        <v>83</v>
      </c>
      <c r="F106" s="109" t="n">
        <v>78</v>
      </c>
      <c r="G106" s="109" t="n">
        <v>8</v>
      </c>
      <c r="H106" s="109" t="n">
        <v>3</v>
      </c>
      <c r="I106" s="109" t="n">
        <v>36</v>
      </c>
      <c r="J106" s="109" t="n">
        <v>216</v>
      </c>
      <c r="K106" s="109" t="n">
        <v>199</v>
      </c>
      <c r="L106" s="109" t="n">
        <v>335</v>
      </c>
      <c r="M106" s="109" t="n">
        <v>111.666666666667</v>
      </c>
    </row>
    <row r="107" ht="13.8" customHeight="1" s="113">
      <c r="A107" s="109" t="inlineStr">
        <is>
          <t>AC04860</t>
        </is>
      </c>
      <c r="B107" s="109" t="inlineStr">
        <is>
          <t>Alinity c</t>
        </is>
      </c>
      <c r="C107" s="109" t="inlineStr">
        <is>
          <t>Digoxin</t>
        </is>
      </c>
      <c r="D107" s="109" t="n">
        <v>1837</v>
      </c>
      <c r="E107" s="109" t="n">
        <v>0</v>
      </c>
      <c r="F107" s="109" t="n">
        <v>0</v>
      </c>
      <c r="G107" s="109" t="n">
        <v>0</v>
      </c>
      <c r="H107" s="109" t="n">
        <v>0</v>
      </c>
      <c r="I107" s="109" t="n">
        <v>12</v>
      </c>
      <c r="J107" s="109" t="n">
        <v>2</v>
      </c>
      <c r="K107" s="109" t="n">
        <v>2</v>
      </c>
      <c r="L107" s="109" t="n">
        <v>14</v>
      </c>
      <c r="M107" s="109" t="n">
        <v>4.66666666666667</v>
      </c>
    </row>
    <row r="108" ht="13.8" customHeight="1" s="113">
      <c r="A108" s="109" t="inlineStr">
        <is>
          <t>AC04860</t>
        </is>
      </c>
      <c r="B108" s="109" t="inlineStr">
        <is>
          <t>Alinity c</t>
        </is>
      </c>
      <c r="C108" s="109" t="inlineStr">
        <is>
          <t>Direct LDL</t>
        </is>
      </c>
      <c r="D108" s="109" t="n">
        <v>1840</v>
      </c>
      <c r="E108" s="109" t="n">
        <v>4855</v>
      </c>
      <c r="F108" s="109" t="n">
        <v>4143</v>
      </c>
      <c r="G108" s="109" t="n">
        <v>597</v>
      </c>
      <c r="H108" s="109" t="n">
        <v>0</v>
      </c>
      <c r="I108" s="109" t="n">
        <v>30</v>
      </c>
      <c r="J108" s="109" t="n">
        <v>299</v>
      </c>
      <c r="K108" s="109" t="n">
        <v>267</v>
      </c>
      <c r="L108" s="109" t="n">
        <v>5184</v>
      </c>
      <c r="M108" s="109" t="n">
        <v>1728</v>
      </c>
    </row>
    <row r="109" ht="13.8" customHeight="1" s="113">
      <c r="A109" s="109" t="inlineStr">
        <is>
          <t>AC04860</t>
        </is>
      </c>
      <c r="B109" s="109" t="inlineStr">
        <is>
          <t>Alinity c</t>
        </is>
      </c>
      <c r="C109" s="109" t="inlineStr">
        <is>
          <t>Direct LDL</t>
        </is>
      </c>
      <c r="D109" s="109" t="n">
        <v>1840</v>
      </c>
      <c r="E109" s="109" t="n">
        <v>354</v>
      </c>
      <c r="F109" s="109" t="n">
        <v>348</v>
      </c>
      <c r="G109" s="109" t="n">
        <v>3</v>
      </c>
      <c r="H109" s="109" t="n">
        <v>0</v>
      </c>
      <c r="I109" s="109" t="n">
        <v>18</v>
      </c>
      <c r="J109" s="109" t="n">
        <v>123</v>
      </c>
      <c r="K109" s="109" t="n">
        <v>116</v>
      </c>
      <c r="L109" s="109" t="n">
        <v>495</v>
      </c>
      <c r="M109" s="109" t="n">
        <v>165</v>
      </c>
    </row>
    <row r="110" ht="13.8" customHeight="1" s="113">
      <c r="A110" s="109" t="inlineStr">
        <is>
          <t>AC04860</t>
        </is>
      </c>
      <c r="B110" s="109" t="inlineStr">
        <is>
          <t>Alinity c</t>
        </is>
      </c>
      <c r="C110" s="109" t="inlineStr">
        <is>
          <t>Direct LDL</t>
        </is>
      </c>
      <c r="D110" s="109" t="n">
        <v>1840</v>
      </c>
      <c r="E110" s="109" t="n">
        <v>4546</v>
      </c>
      <c r="F110" s="109" t="n">
        <v>4089</v>
      </c>
      <c r="G110" s="109" t="n">
        <v>332</v>
      </c>
      <c r="H110" s="109" t="n">
        <v>0</v>
      </c>
      <c r="I110" s="109" t="n">
        <v>30</v>
      </c>
      <c r="J110" s="109" t="n">
        <v>253</v>
      </c>
      <c r="K110" s="109" t="n">
        <v>240</v>
      </c>
      <c r="L110" s="109" t="n">
        <v>4829</v>
      </c>
      <c r="M110" s="109" t="n">
        <v>1609.66666666667</v>
      </c>
    </row>
    <row r="111" ht="13.8" customHeight="1" s="113">
      <c r="A111" s="109" t="inlineStr">
        <is>
          <t>AC04860</t>
        </is>
      </c>
      <c r="B111" s="109" t="inlineStr">
        <is>
          <t>Alinity c</t>
        </is>
      </c>
      <c r="C111" s="109" t="inlineStr">
        <is>
          <t>EcstSQ</t>
        </is>
      </c>
      <c r="D111" s="109" t="n">
        <v>1861</v>
      </c>
      <c r="E111" s="109" t="n">
        <v>20</v>
      </c>
      <c r="F111" s="109" t="n">
        <v>20</v>
      </c>
      <c r="G111" s="109" t="n">
        <v>0</v>
      </c>
      <c r="H111" s="109" t="n">
        <v>0</v>
      </c>
      <c r="I111" s="109" t="n">
        <v>80</v>
      </c>
      <c r="J111" s="109" t="n">
        <v>190</v>
      </c>
      <c r="K111" s="109" t="n">
        <v>184</v>
      </c>
      <c r="L111" s="109" t="n">
        <v>290</v>
      </c>
      <c r="M111" s="109" t="n">
        <v>96.6666666666667</v>
      </c>
    </row>
    <row r="112" ht="13.8" customHeight="1" s="113">
      <c r="A112" s="109" t="inlineStr">
        <is>
          <t>AC04860</t>
        </is>
      </c>
      <c r="B112" s="109" t="inlineStr">
        <is>
          <t>Alinity c</t>
        </is>
      </c>
      <c r="C112" s="109" t="inlineStr">
        <is>
          <t>EcstSQ</t>
        </is>
      </c>
      <c r="D112" s="109" t="n">
        <v>1861</v>
      </c>
      <c r="E112" s="109" t="n">
        <v>0</v>
      </c>
      <c r="F112" s="109" t="n">
        <v>0</v>
      </c>
      <c r="G112" s="109" t="n">
        <v>0</v>
      </c>
      <c r="H112" s="109" t="n">
        <v>0</v>
      </c>
      <c r="I112" s="109" t="n">
        <v>10</v>
      </c>
      <c r="J112" s="109" t="n">
        <v>3</v>
      </c>
      <c r="K112" s="109" t="n">
        <v>3</v>
      </c>
      <c r="L112" s="109" t="n">
        <v>13</v>
      </c>
      <c r="M112" s="109" t="n">
        <v>4.33333333333333</v>
      </c>
    </row>
    <row r="113" ht="13.8" customHeight="1" s="113">
      <c r="A113" s="109" t="inlineStr">
        <is>
          <t>AI22529</t>
        </is>
      </c>
      <c r="B113" s="109" t="inlineStr">
        <is>
          <t>Alinity i</t>
        </is>
      </c>
      <c r="C113" s="109" t="inlineStr">
        <is>
          <t>Estradiol</t>
        </is>
      </c>
      <c r="D113" s="109" t="n">
        <v>488</v>
      </c>
      <c r="E113" s="109" t="n">
        <v>507</v>
      </c>
      <c r="F113" s="109" t="n">
        <v>456</v>
      </c>
      <c r="G113" s="109" t="n">
        <v>32</v>
      </c>
      <c r="H113" s="109" t="n">
        <v>3</v>
      </c>
      <c r="I113" s="109" t="n">
        <v>24</v>
      </c>
      <c r="J113" s="109" t="n">
        <v>293</v>
      </c>
      <c r="K113" s="109" t="n">
        <v>215</v>
      </c>
      <c r="L113" s="109" t="n">
        <v>824</v>
      </c>
      <c r="M113" s="109" t="n">
        <v>274.666666666667</v>
      </c>
    </row>
    <row r="114" ht="13.8" customHeight="1" s="113">
      <c r="A114" s="109" t="inlineStr">
        <is>
          <t>AC04860</t>
        </is>
      </c>
      <c r="B114" s="109" t="inlineStr">
        <is>
          <t>Alinity c</t>
        </is>
      </c>
      <c r="C114" s="109" t="inlineStr">
        <is>
          <t>Ethanol</t>
        </is>
      </c>
      <c r="D114" s="109" t="n">
        <v>1847</v>
      </c>
      <c r="E114" s="109" t="n">
        <v>327</v>
      </c>
      <c r="F114" s="109" t="n">
        <v>323</v>
      </c>
      <c r="G114" s="109" t="n">
        <v>4</v>
      </c>
      <c r="H114" s="109" t="n">
        <v>0</v>
      </c>
      <c r="I114" s="109" t="n">
        <v>60</v>
      </c>
      <c r="J114" s="109" t="n">
        <v>300</v>
      </c>
      <c r="K114" s="109" t="n">
        <v>287</v>
      </c>
      <c r="L114" s="109" t="n">
        <v>687</v>
      </c>
      <c r="M114" s="109" t="n">
        <v>229</v>
      </c>
    </row>
    <row r="115" ht="13.8" customHeight="1" s="113">
      <c r="A115" s="109" t="inlineStr">
        <is>
          <t>AC04860</t>
        </is>
      </c>
      <c r="B115" s="109" t="inlineStr">
        <is>
          <t>Alinity c</t>
        </is>
      </c>
      <c r="C115" s="109" t="inlineStr">
        <is>
          <t>Ethanol</t>
        </is>
      </c>
      <c r="D115" s="109" t="n">
        <v>1847</v>
      </c>
      <c r="E115" s="109" t="n">
        <v>4</v>
      </c>
      <c r="F115" s="109" t="n">
        <v>4</v>
      </c>
      <c r="G115" s="109" t="n">
        <v>0</v>
      </c>
      <c r="H115" s="109" t="n">
        <v>0</v>
      </c>
      <c r="I115" s="109" t="n">
        <v>8</v>
      </c>
      <c r="J115" s="109" t="n">
        <v>19</v>
      </c>
      <c r="K115" s="109" t="n">
        <v>18</v>
      </c>
      <c r="L115" s="109" t="n">
        <v>31</v>
      </c>
      <c r="M115" s="109" t="n">
        <v>10.3333333333333</v>
      </c>
    </row>
    <row r="116" ht="13.8" customHeight="1" s="113">
      <c r="A116" s="109" t="inlineStr">
        <is>
          <t>AI22529</t>
        </is>
      </c>
      <c r="B116" s="109" t="inlineStr">
        <is>
          <t>Alinity i</t>
        </is>
      </c>
      <c r="C116" s="109" t="inlineStr">
        <is>
          <t>Ferritin</t>
        </is>
      </c>
      <c r="D116" s="109" t="n">
        <v>68</v>
      </c>
      <c r="E116" s="109" t="n">
        <v>7477</v>
      </c>
      <c r="F116" s="109" t="n">
        <v>6476</v>
      </c>
      <c r="G116" s="109" t="n">
        <v>695</v>
      </c>
      <c r="H116" s="109" t="n">
        <v>125</v>
      </c>
      <c r="I116" s="109" t="n">
        <v>8</v>
      </c>
      <c r="J116" s="109" t="n">
        <v>364</v>
      </c>
      <c r="K116" s="109" t="n">
        <v>248</v>
      </c>
      <c r="L116" s="109" t="n">
        <v>7849</v>
      </c>
      <c r="M116" s="109" t="n">
        <v>2616.33333333333</v>
      </c>
    </row>
    <row r="117" ht="13.8" customHeight="1" s="113">
      <c r="A117" s="109" t="inlineStr">
        <is>
          <t>AI22529</t>
        </is>
      </c>
      <c r="B117" s="109" t="inlineStr">
        <is>
          <t>Alinity i</t>
        </is>
      </c>
      <c r="C117" s="109" t="inlineStr">
        <is>
          <t>Ferritin</t>
        </is>
      </c>
      <c r="D117" s="109" t="n">
        <v>68</v>
      </c>
      <c r="E117" s="109" t="n">
        <v>5743</v>
      </c>
      <c r="F117" s="109" t="n">
        <v>5044</v>
      </c>
      <c r="G117" s="109" t="n">
        <v>527</v>
      </c>
      <c r="H117" s="109" t="n">
        <v>100</v>
      </c>
      <c r="I117" s="109" t="n">
        <v>16</v>
      </c>
      <c r="J117" s="109" t="n">
        <v>326</v>
      </c>
      <c r="K117" s="109" t="n">
        <v>261</v>
      </c>
      <c r="L117" s="109" t="n">
        <v>6085</v>
      </c>
      <c r="M117" s="109" t="n">
        <v>2028.33333333333</v>
      </c>
    </row>
    <row r="118" ht="13.8" customHeight="1" s="113">
      <c r="A118" s="109" t="inlineStr">
        <is>
          <t>AI22529</t>
        </is>
      </c>
      <c r="B118" s="109" t="inlineStr">
        <is>
          <t>Alinity i</t>
        </is>
      </c>
      <c r="C118" s="109" t="inlineStr">
        <is>
          <t>Ferritin</t>
        </is>
      </c>
      <c r="D118" s="109" t="n">
        <v>68</v>
      </c>
      <c r="E118" s="109" t="n">
        <v>2264</v>
      </c>
      <c r="F118" s="109" t="n">
        <v>2094</v>
      </c>
      <c r="G118" s="109" t="n">
        <v>239</v>
      </c>
      <c r="H118" s="109" t="n">
        <v>155</v>
      </c>
      <c r="I118" s="109" t="n">
        <v>16</v>
      </c>
      <c r="J118" s="109" t="n">
        <v>224</v>
      </c>
      <c r="K118" s="109" t="n">
        <v>203</v>
      </c>
      <c r="L118" s="109" t="n">
        <v>2504</v>
      </c>
      <c r="M118" s="109" t="n">
        <v>834.666666666667</v>
      </c>
    </row>
    <row r="119" ht="13.8" customHeight="1" s="113">
      <c r="A119" s="109" t="inlineStr">
        <is>
          <t>AI22529</t>
        </is>
      </c>
      <c r="B119" s="109" t="inlineStr">
        <is>
          <t>Alinity i</t>
        </is>
      </c>
      <c r="C119" s="109" t="inlineStr">
        <is>
          <t>Folate</t>
        </is>
      </c>
      <c r="D119" s="109" t="n">
        <v>66</v>
      </c>
      <c r="E119" s="109" t="n">
        <v>2277</v>
      </c>
      <c r="F119" s="109" t="n">
        <v>1960</v>
      </c>
      <c r="G119" s="109" t="n">
        <v>237</v>
      </c>
      <c r="H119" s="109" t="n">
        <v>96</v>
      </c>
      <c r="I119" s="109" t="n">
        <v>12</v>
      </c>
      <c r="J119" s="109" t="n">
        <v>269</v>
      </c>
      <c r="K119" s="109" t="n">
        <v>238</v>
      </c>
      <c r="L119" s="109" t="n">
        <v>2558</v>
      </c>
      <c r="M119" s="109" t="n">
        <v>852.666666666667</v>
      </c>
    </row>
    <row r="120" ht="13.8" customHeight="1" s="113">
      <c r="A120" s="109" t="inlineStr">
        <is>
          <t>AI22529</t>
        </is>
      </c>
      <c r="B120" s="109" t="inlineStr">
        <is>
          <t>Alinity i</t>
        </is>
      </c>
      <c r="C120" s="109" t="inlineStr">
        <is>
          <t>Folate</t>
        </is>
      </c>
      <c r="D120" s="109" t="n">
        <v>66</v>
      </c>
      <c r="E120" s="109" t="n">
        <v>2171</v>
      </c>
      <c r="F120" s="109" t="n">
        <v>1859</v>
      </c>
      <c r="G120" s="109" t="n">
        <v>325</v>
      </c>
      <c r="H120" s="109" t="n">
        <v>147</v>
      </c>
      <c r="I120" s="109" t="n">
        <v>48</v>
      </c>
      <c r="J120" s="109" t="n">
        <v>315</v>
      </c>
      <c r="K120" s="109" t="n">
        <v>267</v>
      </c>
      <c r="L120" s="109" t="n">
        <v>2534</v>
      </c>
      <c r="M120" s="109" t="n">
        <v>844.666666666667</v>
      </c>
    </row>
    <row r="121" ht="13.8" customHeight="1" s="113">
      <c r="A121" s="109" t="inlineStr">
        <is>
          <t>AI22529</t>
        </is>
      </c>
      <c r="B121" s="109" t="inlineStr">
        <is>
          <t>Alinity i</t>
        </is>
      </c>
      <c r="C121" s="109" t="inlineStr">
        <is>
          <t>Folate</t>
        </is>
      </c>
      <c r="D121" s="109" t="n">
        <v>66</v>
      </c>
      <c r="E121" s="109" t="n">
        <v>412</v>
      </c>
      <c r="F121" s="109" t="n">
        <v>395</v>
      </c>
      <c r="G121" s="109" t="n">
        <v>33</v>
      </c>
      <c r="H121" s="109" t="n">
        <v>30</v>
      </c>
      <c r="I121" s="109" t="n">
        <v>36</v>
      </c>
      <c r="J121" s="109" t="n">
        <v>197</v>
      </c>
      <c r="K121" s="109" t="n">
        <v>186</v>
      </c>
      <c r="L121" s="109" t="n">
        <v>645</v>
      </c>
      <c r="M121" s="109" t="n">
        <v>215</v>
      </c>
    </row>
    <row r="122" ht="13.8" customHeight="1" s="113">
      <c r="A122" s="109" t="inlineStr">
        <is>
          <t>AI22529</t>
        </is>
      </c>
      <c r="B122" s="109" t="inlineStr">
        <is>
          <t>Alinity i</t>
        </is>
      </c>
      <c r="C122" s="109" t="inlineStr">
        <is>
          <t>Free PSA</t>
        </is>
      </c>
      <c r="D122" s="109" t="n">
        <v>358</v>
      </c>
      <c r="E122" s="109" t="n">
        <v>1247</v>
      </c>
      <c r="F122" s="109" t="n">
        <v>1197</v>
      </c>
      <c r="G122" s="109" t="n">
        <v>23</v>
      </c>
      <c r="H122" s="109" t="n">
        <v>0</v>
      </c>
      <c r="I122" s="109" t="n">
        <v>0</v>
      </c>
      <c r="J122" s="109" t="n">
        <v>233</v>
      </c>
      <c r="K122" s="109" t="n">
        <v>196</v>
      </c>
      <c r="L122" s="109" t="n">
        <v>1480</v>
      </c>
      <c r="M122" s="109" t="n">
        <v>493.333333333333</v>
      </c>
    </row>
    <row r="123" ht="13.8" customHeight="1" s="113">
      <c r="A123" s="109" t="inlineStr">
        <is>
          <t>AI22529</t>
        </is>
      </c>
      <c r="B123" s="109" t="inlineStr">
        <is>
          <t>Alinity i</t>
        </is>
      </c>
      <c r="C123" s="109" t="inlineStr">
        <is>
          <t>Free PSA</t>
        </is>
      </c>
      <c r="D123" s="109" t="n">
        <v>358</v>
      </c>
      <c r="E123" s="109" t="n">
        <v>1186</v>
      </c>
      <c r="F123" s="109" t="n">
        <v>1113</v>
      </c>
      <c r="G123" s="109" t="n">
        <v>40</v>
      </c>
      <c r="H123" s="109" t="n">
        <v>0</v>
      </c>
      <c r="I123" s="109" t="n">
        <v>0</v>
      </c>
      <c r="J123" s="109" t="n">
        <v>245</v>
      </c>
      <c r="K123" s="109" t="n">
        <v>214</v>
      </c>
      <c r="L123" s="109" t="n">
        <v>1431</v>
      </c>
      <c r="M123" s="109" t="n">
        <v>477</v>
      </c>
    </row>
    <row r="124" ht="13.8" customHeight="1" s="113">
      <c r="A124" s="109" t="inlineStr">
        <is>
          <t>AI22529</t>
        </is>
      </c>
      <c r="B124" s="109" t="inlineStr">
        <is>
          <t>Alinity i</t>
        </is>
      </c>
      <c r="C124" s="109" t="inlineStr">
        <is>
          <t>Free T3</t>
        </is>
      </c>
      <c r="D124" s="109" t="n">
        <v>97</v>
      </c>
      <c r="E124" s="109" t="n">
        <v>4006</v>
      </c>
      <c r="F124" s="109" t="n">
        <v>3534</v>
      </c>
      <c r="G124" s="109" t="n">
        <v>323</v>
      </c>
      <c r="H124" s="109" t="n">
        <v>0</v>
      </c>
      <c r="I124" s="109" t="n">
        <v>24</v>
      </c>
      <c r="J124" s="109" t="n">
        <v>297</v>
      </c>
      <c r="K124" s="109" t="n">
        <v>242</v>
      </c>
      <c r="L124" s="109" t="n">
        <v>4327</v>
      </c>
      <c r="M124" s="109" t="n">
        <v>1442.33333333333</v>
      </c>
    </row>
    <row r="125" ht="13.8" customHeight="1" s="113">
      <c r="A125" s="109" t="inlineStr">
        <is>
          <t>AI22529</t>
        </is>
      </c>
      <c r="B125" s="109" t="inlineStr">
        <is>
          <t>Alinity i</t>
        </is>
      </c>
      <c r="C125" s="109" t="inlineStr">
        <is>
          <t>Free T3</t>
        </is>
      </c>
      <c r="D125" s="109" t="n">
        <v>97</v>
      </c>
      <c r="E125" s="109" t="n">
        <v>3639</v>
      </c>
      <c r="F125" s="109" t="n">
        <v>3215</v>
      </c>
      <c r="G125" s="109" t="n">
        <v>279</v>
      </c>
      <c r="H125" s="109" t="n">
        <v>0</v>
      </c>
      <c r="I125" s="109" t="n">
        <v>24</v>
      </c>
      <c r="J125" s="109" t="n">
        <v>280</v>
      </c>
      <c r="K125" s="109" t="n">
        <v>244</v>
      </c>
      <c r="L125" s="109" t="n">
        <v>3943</v>
      </c>
      <c r="M125" s="109" t="n">
        <v>1314.33333333333</v>
      </c>
    </row>
    <row r="126" ht="13.8" customHeight="1" s="113">
      <c r="A126" s="109" t="inlineStr">
        <is>
          <t>AI22529</t>
        </is>
      </c>
      <c r="B126" s="109" t="inlineStr">
        <is>
          <t>Alinity i</t>
        </is>
      </c>
      <c r="C126" s="109" t="inlineStr">
        <is>
          <t>Free T3</t>
        </is>
      </c>
      <c r="D126" s="109" t="n">
        <v>97</v>
      </c>
      <c r="E126" s="109" t="n">
        <v>413</v>
      </c>
      <c r="F126" s="109" t="n">
        <v>406</v>
      </c>
      <c r="G126" s="109" t="n">
        <v>9</v>
      </c>
      <c r="H126" s="109" t="n">
        <v>0</v>
      </c>
      <c r="I126" s="109" t="n">
        <v>24</v>
      </c>
      <c r="J126" s="109" t="n">
        <v>157</v>
      </c>
      <c r="K126" s="109" t="n">
        <v>144</v>
      </c>
      <c r="L126" s="109" t="n">
        <v>594</v>
      </c>
      <c r="M126" s="109" t="n">
        <v>198</v>
      </c>
    </row>
    <row r="127" ht="13.8" customHeight="1" s="113">
      <c r="A127" s="109" t="inlineStr">
        <is>
          <t>AI22529</t>
        </is>
      </c>
      <c r="B127" s="109" t="inlineStr">
        <is>
          <t>Alinity i</t>
        </is>
      </c>
      <c r="C127" s="109" t="inlineStr">
        <is>
          <t>Free T4</t>
        </is>
      </c>
      <c r="D127" s="109" t="n">
        <v>106</v>
      </c>
      <c r="E127" s="109" t="n">
        <v>5050</v>
      </c>
      <c r="F127" s="109" t="n">
        <v>4493</v>
      </c>
      <c r="G127" s="109" t="n">
        <v>431</v>
      </c>
      <c r="H127" s="109" t="n">
        <v>0</v>
      </c>
      <c r="I127" s="109" t="n">
        <v>24</v>
      </c>
      <c r="J127" s="109" t="n">
        <v>302</v>
      </c>
      <c r="K127" s="109" t="n">
        <v>198</v>
      </c>
      <c r="L127" s="109" t="n">
        <v>5376</v>
      </c>
      <c r="M127" s="109" t="n">
        <v>1792</v>
      </c>
    </row>
    <row r="128" ht="13.8" customHeight="1" s="113">
      <c r="A128" s="109" t="inlineStr">
        <is>
          <t>AI22529</t>
        </is>
      </c>
      <c r="B128" s="109" t="inlineStr">
        <is>
          <t>Alinity i</t>
        </is>
      </c>
      <c r="C128" s="109" t="inlineStr">
        <is>
          <t>Free T4</t>
        </is>
      </c>
      <c r="D128" s="109" t="n">
        <v>106</v>
      </c>
      <c r="E128" s="109" t="n">
        <v>4797</v>
      </c>
      <c r="F128" s="109" t="n">
        <v>4167</v>
      </c>
      <c r="G128" s="109" t="n">
        <v>369</v>
      </c>
      <c r="H128" s="109" t="n">
        <v>0</v>
      </c>
      <c r="I128" s="109" t="n">
        <v>12</v>
      </c>
      <c r="J128" s="109" t="n">
        <v>309</v>
      </c>
      <c r="K128" s="109" t="n">
        <v>245</v>
      </c>
      <c r="L128" s="109" t="n">
        <v>5118</v>
      </c>
      <c r="M128" s="109" t="n">
        <v>1706</v>
      </c>
    </row>
    <row r="129" ht="13.8" customHeight="1" s="113">
      <c r="A129" s="109" t="inlineStr">
        <is>
          <t>AI22529</t>
        </is>
      </c>
      <c r="B129" s="109" t="inlineStr">
        <is>
          <t>Alinity i</t>
        </is>
      </c>
      <c r="C129" s="109" t="inlineStr">
        <is>
          <t>Free T4</t>
        </is>
      </c>
      <c r="D129" s="109" t="n">
        <v>106</v>
      </c>
      <c r="E129" s="109" t="n">
        <v>548</v>
      </c>
      <c r="F129" s="109" t="n">
        <v>540</v>
      </c>
      <c r="G129" s="109" t="n">
        <v>9</v>
      </c>
      <c r="H129" s="109" t="n">
        <v>0</v>
      </c>
      <c r="I129" s="109" t="n">
        <v>24</v>
      </c>
      <c r="J129" s="109" t="n">
        <v>162</v>
      </c>
      <c r="K129" s="109" t="n">
        <v>143</v>
      </c>
      <c r="L129" s="109" t="n">
        <v>734</v>
      </c>
      <c r="M129" s="109" t="n">
        <v>244.666666666667</v>
      </c>
    </row>
    <row r="130" ht="13.8" customHeight="1" s="113">
      <c r="A130" s="109" t="inlineStr">
        <is>
          <t>AI22529</t>
        </is>
      </c>
      <c r="B130" s="109" t="inlineStr">
        <is>
          <t>Alinity i</t>
        </is>
      </c>
      <c r="C130" s="109" t="inlineStr">
        <is>
          <t>FSH</t>
        </is>
      </c>
      <c r="D130" s="109" t="n">
        <v>88</v>
      </c>
      <c r="E130" s="109" t="n">
        <v>661</v>
      </c>
      <c r="F130" s="109" t="n">
        <v>586</v>
      </c>
      <c r="G130" s="109" t="n">
        <v>45</v>
      </c>
      <c r="H130" s="109" t="n">
        <v>3</v>
      </c>
      <c r="I130" s="109" t="n">
        <v>4</v>
      </c>
      <c r="J130" s="109" t="n">
        <v>296</v>
      </c>
      <c r="K130" s="109" t="n">
        <v>255</v>
      </c>
      <c r="L130" s="109" t="n">
        <v>961</v>
      </c>
      <c r="M130" s="109" t="n">
        <v>320.333333333333</v>
      </c>
    </row>
    <row r="131" ht="13.8" customHeight="1" s="113">
      <c r="A131" s="109" t="inlineStr">
        <is>
          <t>AC04860</t>
        </is>
      </c>
      <c r="B131" s="109" t="inlineStr">
        <is>
          <t>Alinity c</t>
        </is>
      </c>
      <c r="C131" s="109" t="inlineStr">
        <is>
          <t>G6PD NURA</t>
        </is>
      </c>
      <c r="D131" s="109" t="n">
        <v>2243</v>
      </c>
      <c r="E131" s="109" t="n">
        <v>77</v>
      </c>
      <c r="F131" s="109" t="n">
        <v>63</v>
      </c>
      <c r="G131" s="109" t="n">
        <v>2</v>
      </c>
      <c r="H131" s="109" t="n">
        <v>0</v>
      </c>
      <c r="I131" s="109" t="n">
        <v>0</v>
      </c>
      <c r="J131" s="109" t="n">
        <v>22</v>
      </c>
      <c r="K131" s="109" t="n">
        <v>21</v>
      </c>
      <c r="L131" s="109" t="n">
        <v>99</v>
      </c>
      <c r="M131" s="109" t="n">
        <v>33</v>
      </c>
    </row>
    <row r="132" ht="13.8" customHeight="1" s="113">
      <c r="A132" s="109" t="inlineStr">
        <is>
          <t>AC04860</t>
        </is>
      </c>
      <c r="B132" s="109" t="inlineStr">
        <is>
          <t>Alinity c</t>
        </is>
      </c>
      <c r="C132" s="109" t="inlineStr">
        <is>
          <t>G6PD NURB</t>
        </is>
      </c>
      <c r="D132" s="109" t="n">
        <v>2244</v>
      </c>
      <c r="E132" s="109" t="n">
        <v>78</v>
      </c>
      <c r="F132" s="109" t="n">
        <v>63</v>
      </c>
      <c r="G132" s="109" t="n">
        <v>3</v>
      </c>
      <c r="H132" s="109" t="n">
        <v>0</v>
      </c>
      <c r="I132" s="109" t="n">
        <v>0</v>
      </c>
      <c r="J132" s="109" t="n">
        <v>22</v>
      </c>
      <c r="K132" s="109" t="n">
        <v>21</v>
      </c>
      <c r="L132" s="109" t="n">
        <v>100</v>
      </c>
      <c r="M132" s="109" t="n">
        <v>33.3333333333333</v>
      </c>
    </row>
    <row r="133" ht="13.8" customHeight="1" s="113">
      <c r="A133" s="109" t="inlineStr">
        <is>
          <t>AC04860</t>
        </is>
      </c>
      <c r="B133" s="109" t="inlineStr">
        <is>
          <t>Alinity c</t>
        </is>
      </c>
      <c r="C133" s="109" t="inlineStr">
        <is>
          <t>G6PDH NUR</t>
        </is>
      </c>
      <c r="D133" s="109" t="n">
        <v>2004</v>
      </c>
      <c r="E133" s="109" t="n">
        <v>0</v>
      </c>
      <c r="F133" s="109" t="n">
        <v>0</v>
      </c>
      <c r="G133" s="109" t="n">
        <v>0</v>
      </c>
      <c r="H133" s="109" t="n">
        <v>0</v>
      </c>
      <c r="I133" s="109" t="n">
        <v>0</v>
      </c>
      <c r="J133" s="109" t="n">
        <v>22</v>
      </c>
      <c r="K133" s="109" t="n">
        <v>20</v>
      </c>
      <c r="L133" s="109" t="n">
        <v>22</v>
      </c>
      <c r="M133" s="109" t="n">
        <v>7.33333333333333</v>
      </c>
    </row>
    <row r="134" ht="13.8" customHeight="1" s="113">
      <c r="A134" s="109" t="inlineStr">
        <is>
          <t>AC04860</t>
        </is>
      </c>
      <c r="B134" s="109" t="inlineStr">
        <is>
          <t>Alinity c</t>
        </is>
      </c>
      <c r="C134" s="109" t="inlineStr">
        <is>
          <t>Gentamicin</t>
        </is>
      </c>
      <c r="D134" s="109" t="n">
        <v>1867</v>
      </c>
      <c r="E134" s="109" t="n">
        <v>0</v>
      </c>
      <c r="F134" s="109" t="n">
        <v>0</v>
      </c>
      <c r="G134" s="109" t="n">
        <v>0</v>
      </c>
      <c r="H134" s="109" t="n">
        <v>0</v>
      </c>
      <c r="I134" s="109" t="n">
        <v>0</v>
      </c>
      <c r="J134" s="109" t="n">
        <v>3</v>
      </c>
      <c r="K134" s="109" t="n">
        <v>0</v>
      </c>
      <c r="L134" s="109" t="n">
        <v>3</v>
      </c>
      <c r="M134" s="109" t="n">
        <v>1</v>
      </c>
    </row>
    <row r="135" ht="13.8" customHeight="1" s="113">
      <c r="A135" s="109" t="inlineStr">
        <is>
          <t>AC04860</t>
        </is>
      </c>
      <c r="B135" s="109" t="inlineStr">
        <is>
          <t>Alinity c</t>
        </is>
      </c>
      <c r="C135" s="109" t="inlineStr">
        <is>
          <t>GGT2</t>
        </is>
      </c>
      <c r="D135" s="109" t="n">
        <v>1476</v>
      </c>
      <c r="E135" s="109" t="n">
        <v>10316</v>
      </c>
      <c r="F135" s="109" t="n">
        <v>8948</v>
      </c>
      <c r="G135" s="109" t="n">
        <v>1078</v>
      </c>
      <c r="H135" s="109" t="n">
        <v>0</v>
      </c>
      <c r="I135" s="109" t="n">
        <v>18</v>
      </c>
      <c r="J135" s="109" t="n">
        <v>301</v>
      </c>
      <c r="K135" s="109" t="n">
        <v>283</v>
      </c>
      <c r="L135" s="109" t="n">
        <v>10635</v>
      </c>
      <c r="M135" s="109" t="n">
        <v>3545</v>
      </c>
    </row>
    <row r="136" ht="13.8" customHeight="1" s="113">
      <c r="A136" s="109" t="inlineStr">
        <is>
          <t>AC04860</t>
        </is>
      </c>
      <c r="B136" s="109" t="inlineStr">
        <is>
          <t>Alinity c</t>
        </is>
      </c>
      <c r="C136" s="109" t="inlineStr">
        <is>
          <t>GGT2</t>
        </is>
      </c>
      <c r="D136" s="109" t="n">
        <v>1476</v>
      </c>
      <c r="E136" s="109" t="n">
        <v>4233</v>
      </c>
      <c r="F136" s="109" t="n">
        <v>4007</v>
      </c>
      <c r="G136" s="109" t="n">
        <v>178</v>
      </c>
      <c r="H136" s="109" t="n">
        <v>0</v>
      </c>
      <c r="I136" s="109" t="n">
        <v>18</v>
      </c>
      <c r="J136" s="109" t="n">
        <v>243</v>
      </c>
      <c r="K136" s="109" t="n">
        <v>230</v>
      </c>
      <c r="L136" s="109" t="n">
        <v>4494</v>
      </c>
      <c r="M136" s="109" t="n">
        <v>1498</v>
      </c>
    </row>
    <row r="137" ht="13.8" customHeight="1" s="113">
      <c r="A137" s="109" t="inlineStr">
        <is>
          <t>AC04860</t>
        </is>
      </c>
      <c r="B137" s="109" t="inlineStr">
        <is>
          <t>Alinity c</t>
        </is>
      </c>
      <c r="C137" s="109" t="inlineStr">
        <is>
          <t>GGT2</t>
        </is>
      </c>
      <c r="D137" s="109" t="n">
        <v>1476</v>
      </c>
      <c r="E137" s="109" t="n">
        <v>9985</v>
      </c>
      <c r="F137" s="109" t="n">
        <v>8820</v>
      </c>
      <c r="G137" s="109" t="n">
        <v>833</v>
      </c>
      <c r="H137" s="109" t="n">
        <v>0</v>
      </c>
      <c r="I137" s="109" t="n">
        <v>24</v>
      </c>
      <c r="J137" s="109" t="n">
        <v>291</v>
      </c>
      <c r="K137" s="109" t="n">
        <v>281</v>
      </c>
      <c r="L137" s="109" t="n">
        <v>10300</v>
      </c>
      <c r="M137" s="109" t="n">
        <v>3433.33333333333</v>
      </c>
    </row>
    <row r="138" ht="13.8" customHeight="1" s="113">
      <c r="A138" s="109" t="inlineStr">
        <is>
          <t>AC04860</t>
        </is>
      </c>
      <c r="B138" s="109" t="inlineStr">
        <is>
          <t>Alinity c</t>
        </is>
      </c>
      <c r="C138" s="109" t="inlineStr">
        <is>
          <t>Glucose</t>
        </is>
      </c>
      <c r="D138" s="109" t="n">
        <v>1069</v>
      </c>
      <c r="E138" s="109" t="n">
        <v>17597</v>
      </c>
      <c r="F138" s="109" t="n">
        <v>15251</v>
      </c>
      <c r="G138" s="109" t="n">
        <v>1872</v>
      </c>
      <c r="H138" s="109" t="n">
        <v>1</v>
      </c>
      <c r="I138" s="109" t="n">
        <v>54</v>
      </c>
      <c r="J138" s="109" t="n">
        <v>265</v>
      </c>
      <c r="K138" s="109" t="n">
        <v>248</v>
      </c>
      <c r="L138" s="109" t="n">
        <v>17916</v>
      </c>
      <c r="M138" s="109" t="n">
        <v>5972</v>
      </c>
    </row>
    <row r="139" ht="13.8" customHeight="1" s="113">
      <c r="A139" s="109" t="inlineStr">
        <is>
          <t>AC04860</t>
        </is>
      </c>
      <c r="B139" s="109" t="inlineStr">
        <is>
          <t>Alinity c</t>
        </is>
      </c>
      <c r="C139" s="109" t="inlineStr">
        <is>
          <t>Glucose</t>
        </is>
      </c>
      <c r="D139" s="109" t="n">
        <v>1069</v>
      </c>
      <c r="E139" s="109" t="n">
        <v>13104</v>
      </c>
      <c r="F139" s="109" t="n">
        <v>12677</v>
      </c>
      <c r="G139" s="109" t="n">
        <v>414</v>
      </c>
      <c r="H139" s="109" t="n">
        <v>14</v>
      </c>
      <c r="I139" s="109" t="n">
        <v>54</v>
      </c>
      <c r="J139" s="109" t="n">
        <v>227</v>
      </c>
      <c r="K139" s="109" t="n">
        <v>215</v>
      </c>
      <c r="L139" s="109" t="n">
        <v>13385</v>
      </c>
      <c r="M139" s="109" t="n">
        <v>4461.66666666667</v>
      </c>
    </row>
    <row r="140" ht="13.8" customHeight="1" s="113">
      <c r="A140" s="109" t="inlineStr">
        <is>
          <t>AC04860</t>
        </is>
      </c>
      <c r="B140" s="109" t="inlineStr">
        <is>
          <t>Alinity c</t>
        </is>
      </c>
      <c r="C140" s="109" t="inlineStr">
        <is>
          <t>Glucose</t>
        </is>
      </c>
      <c r="D140" s="109" t="n">
        <v>1069</v>
      </c>
      <c r="E140" s="109" t="n">
        <v>17533</v>
      </c>
      <c r="F140" s="109" t="n">
        <v>15887</v>
      </c>
      <c r="G140" s="109" t="n">
        <v>1215</v>
      </c>
      <c r="H140" s="109" t="n">
        <v>1</v>
      </c>
      <c r="I140" s="109" t="n">
        <v>54</v>
      </c>
      <c r="J140" s="109" t="n">
        <v>264</v>
      </c>
      <c r="K140" s="109" t="n">
        <v>257</v>
      </c>
      <c r="L140" s="109" t="n">
        <v>17851</v>
      </c>
      <c r="M140" s="109" t="n">
        <v>5950.33333333333</v>
      </c>
    </row>
    <row r="141" ht="13.8" customHeight="1" s="113">
      <c r="A141" s="109" t="inlineStr">
        <is>
          <t>AC04860</t>
        </is>
      </c>
      <c r="B141" s="109" t="inlineStr">
        <is>
          <t>Alinity c</t>
        </is>
      </c>
      <c r="C141" s="109" t="inlineStr">
        <is>
          <t>Glucose CU</t>
        </is>
      </c>
      <c r="D141" s="109" t="n">
        <v>1095</v>
      </c>
      <c r="E141" s="109" t="n">
        <v>7</v>
      </c>
      <c r="F141" s="109" t="n">
        <v>6</v>
      </c>
      <c r="G141" s="109" t="n">
        <v>0</v>
      </c>
      <c r="H141" s="109" t="n">
        <v>0</v>
      </c>
      <c r="I141" s="109" t="n">
        <v>0</v>
      </c>
      <c r="J141" s="109" t="n">
        <v>227</v>
      </c>
      <c r="K141" s="109" t="n">
        <v>213</v>
      </c>
      <c r="L141" s="109" t="n">
        <v>234</v>
      </c>
      <c r="M141" s="109" t="n">
        <v>78</v>
      </c>
    </row>
    <row r="142" ht="13.8" customHeight="1" s="113">
      <c r="A142" s="109" t="inlineStr">
        <is>
          <t>AC04860</t>
        </is>
      </c>
      <c r="B142" s="109" t="inlineStr">
        <is>
          <t>Alinity c</t>
        </is>
      </c>
      <c r="C142" s="109" t="inlineStr">
        <is>
          <t>Glucose CU</t>
        </is>
      </c>
      <c r="D142" s="109" t="n">
        <v>1095</v>
      </c>
      <c r="E142" s="109" t="n">
        <v>42</v>
      </c>
      <c r="F142" s="109" t="n">
        <v>41</v>
      </c>
      <c r="G142" s="109" t="n">
        <v>2</v>
      </c>
      <c r="H142" s="109" t="n">
        <v>0</v>
      </c>
      <c r="I142" s="109" t="n">
        <v>0</v>
      </c>
      <c r="J142" s="109" t="n">
        <v>194</v>
      </c>
      <c r="K142" s="109" t="n">
        <v>188</v>
      </c>
      <c r="L142" s="109" t="n">
        <v>236</v>
      </c>
      <c r="M142" s="109" t="n">
        <v>78.6666666666667</v>
      </c>
    </row>
    <row r="143" ht="13.8" customHeight="1" s="113">
      <c r="A143" s="109" t="inlineStr">
        <is>
          <t>AC04860</t>
        </is>
      </c>
      <c r="B143" s="109" t="inlineStr">
        <is>
          <t>Alinity c</t>
        </is>
      </c>
      <c r="C143" s="109" t="inlineStr">
        <is>
          <t>Glucose CU</t>
        </is>
      </c>
      <c r="D143" s="109" t="n">
        <v>1095</v>
      </c>
      <c r="E143" s="109" t="n">
        <v>4</v>
      </c>
      <c r="F143" s="109" t="n">
        <v>4</v>
      </c>
      <c r="G143" s="109" t="n">
        <v>0</v>
      </c>
      <c r="H143" s="109" t="n">
        <v>0</v>
      </c>
      <c r="I143" s="109" t="n">
        <v>0</v>
      </c>
      <c r="J143" s="109" t="n">
        <v>216</v>
      </c>
      <c r="K143" s="109" t="n">
        <v>212</v>
      </c>
      <c r="L143" s="109" t="n">
        <v>220</v>
      </c>
      <c r="M143" s="109" t="n">
        <v>73.3333333333333</v>
      </c>
    </row>
    <row r="144" ht="13.8" customHeight="1" s="113">
      <c r="A144" s="109" t="inlineStr">
        <is>
          <t>AC04860</t>
        </is>
      </c>
      <c r="B144" s="109" t="inlineStr">
        <is>
          <t>Alinity c</t>
        </is>
      </c>
      <c r="C144" s="109" t="inlineStr">
        <is>
          <t>Haptoglob</t>
        </is>
      </c>
      <c r="D144" s="109" t="n">
        <v>1060</v>
      </c>
      <c r="E144" s="109" t="n">
        <v>190</v>
      </c>
      <c r="F144" s="109" t="n">
        <v>178</v>
      </c>
      <c r="G144" s="109" t="n">
        <v>8</v>
      </c>
      <c r="H144" s="109" t="n">
        <v>16</v>
      </c>
      <c r="I144" s="109" t="n">
        <v>36</v>
      </c>
      <c r="J144" s="109" t="n">
        <v>221</v>
      </c>
      <c r="K144" s="109" t="n">
        <v>202</v>
      </c>
      <c r="L144" s="109" t="n">
        <v>447</v>
      </c>
      <c r="M144" s="109" t="n">
        <v>149</v>
      </c>
    </row>
    <row r="145" ht="13.8" customHeight="1" s="113">
      <c r="A145" s="109" t="inlineStr">
        <is>
          <t>AI22529</t>
        </is>
      </c>
      <c r="B145" s="109" t="inlineStr">
        <is>
          <t>Alinity i</t>
        </is>
      </c>
      <c r="C145" s="109" t="inlineStr">
        <is>
          <t>HAVAb IgM</t>
        </is>
      </c>
      <c r="D145" s="109" t="n">
        <v>800</v>
      </c>
      <c r="E145" s="109" t="n">
        <v>175</v>
      </c>
      <c r="F145" s="109" t="n">
        <v>158</v>
      </c>
      <c r="G145" s="109" t="n">
        <v>10</v>
      </c>
      <c r="H145" s="109" t="n">
        <v>0</v>
      </c>
      <c r="I145" s="109" t="n">
        <v>3</v>
      </c>
      <c r="J145" s="109" t="n">
        <v>196</v>
      </c>
      <c r="K145" s="109" t="n">
        <v>184</v>
      </c>
      <c r="L145" s="109" t="n">
        <v>374</v>
      </c>
      <c r="M145" s="109" t="n">
        <v>124.666666666667</v>
      </c>
    </row>
    <row r="146" ht="13.8" customHeight="1" s="113">
      <c r="A146" s="109" t="inlineStr">
        <is>
          <t>AI22529</t>
        </is>
      </c>
      <c r="B146" s="109" t="inlineStr">
        <is>
          <t>Alinity i</t>
        </is>
      </c>
      <c r="C146" s="109" t="inlineStr">
        <is>
          <t>HAVAb-IgG</t>
        </is>
      </c>
      <c r="D146" s="109" t="n">
        <v>286</v>
      </c>
      <c r="E146" s="109" t="n">
        <v>196</v>
      </c>
      <c r="F146" s="109" t="n">
        <v>190</v>
      </c>
      <c r="G146" s="109" t="n">
        <v>4</v>
      </c>
      <c r="H146" s="109" t="n">
        <v>0</v>
      </c>
      <c r="I146" s="109" t="n">
        <v>6</v>
      </c>
      <c r="J146" s="109" t="n">
        <v>192</v>
      </c>
      <c r="K146" s="109" t="n">
        <v>183</v>
      </c>
      <c r="L146" s="109" t="n">
        <v>394</v>
      </c>
      <c r="M146" s="109" t="n">
        <v>131.333333333333</v>
      </c>
    </row>
    <row r="147" ht="13.8" customHeight="1" s="113">
      <c r="A147" s="109" t="inlineStr">
        <is>
          <t>AI22529</t>
        </is>
      </c>
      <c r="B147" s="109" t="inlineStr">
        <is>
          <t>Alinity i</t>
        </is>
      </c>
      <c r="C147" s="109" t="inlineStr">
        <is>
          <t>HAVAb-IgG</t>
        </is>
      </c>
      <c r="D147" s="109" t="n">
        <v>286</v>
      </c>
      <c r="E147" s="109" t="n">
        <v>0</v>
      </c>
      <c r="F147" s="109" t="n">
        <v>0</v>
      </c>
      <c r="G147" s="109" t="n">
        <v>0</v>
      </c>
      <c r="H147" s="109" t="n">
        <v>0</v>
      </c>
      <c r="I147" s="109" t="n">
        <v>3</v>
      </c>
      <c r="J147" s="109" t="n">
        <v>0</v>
      </c>
      <c r="K147" s="109" t="n">
        <v>0</v>
      </c>
      <c r="L147" s="109" t="n">
        <v>3</v>
      </c>
      <c r="M147" s="109" t="n">
        <v>1</v>
      </c>
    </row>
    <row r="148" ht="13.8" customHeight="1" s="113">
      <c r="A148" s="109" t="inlineStr">
        <is>
          <t>AI22529</t>
        </is>
      </c>
      <c r="B148" s="109" t="inlineStr">
        <is>
          <t>Alinity i</t>
        </is>
      </c>
      <c r="C148" s="109" t="inlineStr">
        <is>
          <t>HBeAg</t>
        </is>
      </c>
      <c r="D148" s="109" t="n">
        <v>288</v>
      </c>
      <c r="E148" s="109" t="n">
        <v>992</v>
      </c>
      <c r="F148" s="109" t="n">
        <v>967</v>
      </c>
      <c r="G148" s="109" t="n">
        <v>26</v>
      </c>
      <c r="H148" s="109" t="n">
        <v>0</v>
      </c>
      <c r="I148" s="109" t="n">
        <v>12</v>
      </c>
      <c r="J148" s="109" t="n">
        <v>230</v>
      </c>
      <c r="K148" s="109" t="n">
        <v>225</v>
      </c>
      <c r="L148" s="109" t="n">
        <v>1234</v>
      </c>
      <c r="M148" s="109" t="n">
        <v>411.333333333333</v>
      </c>
    </row>
    <row r="149" ht="13.8" customHeight="1" s="113">
      <c r="A149" s="109" t="inlineStr">
        <is>
          <t>AI22529</t>
        </is>
      </c>
      <c r="B149" s="109" t="inlineStr">
        <is>
          <t>Alinity i</t>
        </is>
      </c>
      <c r="C149" s="109" t="inlineStr">
        <is>
          <t>HBsAg dil</t>
        </is>
      </c>
      <c r="D149" s="109" t="n">
        <v>378</v>
      </c>
      <c r="E149" s="109" t="n">
        <v>596</v>
      </c>
      <c r="F149" s="109" t="n">
        <v>581</v>
      </c>
      <c r="G149" s="109" t="n">
        <v>68</v>
      </c>
      <c r="H149" s="109" t="n">
        <v>72</v>
      </c>
      <c r="I149" s="109" t="n">
        <v>24</v>
      </c>
      <c r="J149" s="109" t="n">
        <v>340</v>
      </c>
      <c r="K149" s="109" t="n">
        <v>329</v>
      </c>
      <c r="L149" s="109" t="n">
        <v>960</v>
      </c>
      <c r="M149" s="109" t="n">
        <v>320</v>
      </c>
    </row>
    <row r="150" ht="13.8" customHeight="1" s="113">
      <c r="A150" s="109" t="inlineStr">
        <is>
          <t>AI22529</t>
        </is>
      </c>
      <c r="B150" s="109" t="inlineStr">
        <is>
          <t>Alinity i</t>
        </is>
      </c>
      <c r="C150" s="109" t="inlineStr">
        <is>
          <t>HBsAgNx</t>
        </is>
      </c>
      <c r="D150" s="109" t="n">
        <v>277</v>
      </c>
      <c r="E150" s="109" t="n">
        <v>1478</v>
      </c>
      <c r="F150" s="109" t="n">
        <v>1417</v>
      </c>
      <c r="G150" s="109" t="n">
        <v>51</v>
      </c>
      <c r="H150" s="109" t="n">
        <v>0</v>
      </c>
      <c r="I150" s="109" t="n">
        <v>18</v>
      </c>
      <c r="J150" s="109" t="n">
        <v>185</v>
      </c>
      <c r="K150" s="109" t="n">
        <v>171</v>
      </c>
      <c r="L150" s="109" t="n">
        <v>1681</v>
      </c>
      <c r="M150" s="109" t="n">
        <v>560.333333333333</v>
      </c>
    </row>
    <row r="151" ht="13.8" customHeight="1" s="113">
      <c r="A151" s="109" t="inlineStr">
        <is>
          <t>AI22529</t>
        </is>
      </c>
      <c r="B151" s="109" t="inlineStr">
        <is>
          <t>Alinity i</t>
        </is>
      </c>
      <c r="C151" s="109" t="inlineStr">
        <is>
          <t>HBsAgNx</t>
        </is>
      </c>
      <c r="D151" s="109" t="n">
        <v>277</v>
      </c>
      <c r="E151" s="109" t="n">
        <v>2281</v>
      </c>
      <c r="F151" s="109" t="n">
        <v>2107</v>
      </c>
      <c r="G151" s="109" t="n">
        <v>129</v>
      </c>
      <c r="H151" s="109" t="n">
        <v>0</v>
      </c>
      <c r="I151" s="109" t="n">
        <v>12</v>
      </c>
      <c r="J151" s="109" t="n">
        <v>189</v>
      </c>
      <c r="K151" s="109" t="n">
        <v>175</v>
      </c>
      <c r="L151" s="109" t="n">
        <v>2482</v>
      </c>
      <c r="M151" s="109" t="n">
        <v>827.333333333333</v>
      </c>
    </row>
    <row r="152" ht="13.8" customHeight="1" s="113">
      <c r="A152" s="109" t="inlineStr">
        <is>
          <t>AI22529</t>
        </is>
      </c>
      <c r="B152" s="109" t="inlineStr">
        <is>
          <t>Alinity i</t>
        </is>
      </c>
      <c r="C152" s="109" t="inlineStr">
        <is>
          <t>HE4</t>
        </is>
      </c>
      <c r="D152" s="109" t="n">
        <v>594</v>
      </c>
      <c r="E152" s="109" t="n">
        <v>146</v>
      </c>
      <c r="F152" s="109" t="n">
        <v>133</v>
      </c>
      <c r="G152" s="109" t="n">
        <v>9</v>
      </c>
      <c r="H152" s="109" t="n">
        <v>5</v>
      </c>
      <c r="I152" s="109" t="n">
        <v>48</v>
      </c>
      <c r="J152" s="109" t="n">
        <v>229</v>
      </c>
      <c r="K152" s="109" t="n">
        <v>202</v>
      </c>
      <c r="L152" s="109" t="n">
        <v>423</v>
      </c>
      <c r="M152" s="109" t="n">
        <v>141</v>
      </c>
    </row>
    <row r="153" ht="13.8" customHeight="1" s="113">
      <c r="A153" s="109" t="inlineStr">
        <is>
          <t>AC04860</t>
        </is>
      </c>
      <c r="B153" s="109" t="inlineStr">
        <is>
          <t>Alinity c</t>
        </is>
      </c>
      <c r="C153" s="109" t="inlineStr">
        <is>
          <t>Hemolysis</t>
        </is>
      </c>
      <c r="D153" s="109" t="n">
        <v>1071</v>
      </c>
      <c r="E153" s="109" t="n">
        <v>26881</v>
      </c>
      <c r="F153" s="109" t="n">
        <v>22429</v>
      </c>
      <c r="G153" s="109" t="n">
        <v>3321</v>
      </c>
      <c r="H153" s="109" t="n">
        <v>0</v>
      </c>
      <c r="I153" s="109" t="n">
        <v>0</v>
      </c>
      <c r="J153" s="109" t="n">
        <v>0</v>
      </c>
      <c r="K153" s="109" t="n">
        <v>0</v>
      </c>
      <c r="L153" s="109" t="n">
        <v>26881</v>
      </c>
      <c r="M153" s="109" t="n">
        <v>8960.33333333333</v>
      </c>
    </row>
    <row r="154" ht="13.8" customHeight="1" s="113">
      <c r="A154" s="109" t="inlineStr">
        <is>
          <t>AC04860</t>
        </is>
      </c>
      <c r="B154" s="109" t="inlineStr">
        <is>
          <t>Alinity c</t>
        </is>
      </c>
      <c r="C154" s="109" t="inlineStr">
        <is>
          <t>Hemolysis</t>
        </is>
      </c>
      <c r="D154" s="109" t="n">
        <v>1071</v>
      </c>
      <c r="E154" s="109" t="n">
        <v>20738</v>
      </c>
      <c r="F154" s="109" t="n">
        <v>20121</v>
      </c>
      <c r="G154" s="109" t="n">
        <v>534</v>
      </c>
      <c r="H154" s="109" t="n">
        <v>0</v>
      </c>
      <c r="I154" s="109" t="n">
        <v>0</v>
      </c>
      <c r="J154" s="109" t="n">
        <v>0</v>
      </c>
      <c r="K154" s="109" t="n">
        <v>0</v>
      </c>
      <c r="L154" s="109" t="n">
        <v>20738</v>
      </c>
      <c r="M154" s="109" t="n">
        <v>6912.66666666667</v>
      </c>
    </row>
    <row r="155" ht="13.8" customHeight="1" s="113">
      <c r="A155" s="109" t="inlineStr">
        <is>
          <t>AC04860</t>
        </is>
      </c>
      <c r="B155" s="109" t="inlineStr">
        <is>
          <t>Alinity c</t>
        </is>
      </c>
      <c r="C155" s="109" t="inlineStr">
        <is>
          <t>Hemolysis</t>
        </is>
      </c>
      <c r="D155" s="109" t="n">
        <v>1071</v>
      </c>
      <c r="E155" s="109" t="n">
        <v>28338</v>
      </c>
      <c r="F155" s="109" t="n">
        <v>25271</v>
      </c>
      <c r="G155" s="109" t="n">
        <v>2503</v>
      </c>
      <c r="H155" s="109" t="n">
        <v>0</v>
      </c>
      <c r="I155" s="109" t="n">
        <v>0</v>
      </c>
      <c r="J155" s="109" t="n">
        <v>0</v>
      </c>
      <c r="K155" s="109" t="n">
        <v>0</v>
      </c>
      <c r="L155" s="109" t="n">
        <v>28338</v>
      </c>
      <c r="M155" s="109" t="n">
        <v>9446</v>
      </c>
    </row>
    <row r="156" ht="13.8" customHeight="1" s="113">
      <c r="A156" s="109" t="inlineStr">
        <is>
          <t>AC04860</t>
        </is>
      </c>
      <c r="B156" s="109" t="inlineStr">
        <is>
          <t>Alinity c</t>
        </is>
      </c>
      <c r="C156" s="109" t="inlineStr">
        <is>
          <t>HILref</t>
        </is>
      </c>
      <c r="D156" s="109" t="n">
        <v>1074</v>
      </c>
      <c r="E156" s="109" t="n">
        <v>26917</v>
      </c>
      <c r="F156" s="109" t="n">
        <v>22460</v>
      </c>
      <c r="G156" s="109" t="n">
        <v>3326</v>
      </c>
      <c r="H156" s="109" t="n">
        <v>0</v>
      </c>
      <c r="I156" s="109" t="n">
        <v>0</v>
      </c>
      <c r="J156" s="109" t="n">
        <v>0</v>
      </c>
      <c r="K156" s="109" t="n">
        <v>0</v>
      </c>
      <c r="L156" s="109" t="n">
        <v>26917</v>
      </c>
      <c r="M156" s="109" t="n">
        <v>8972.33333333333</v>
      </c>
    </row>
    <row r="157" ht="13.8" customHeight="1" s="113">
      <c r="A157" s="109" t="inlineStr">
        <is>
          <t>AC04860</t>
        </is>
      </c>
      <c r="B157" s="109" t="inlineStr">
        <is>
          <t>Alinity c</t>
        </is>
      </c>
      <c r="C157" s="109" t="inlineStr">
        <is>
          <t>HILref</t>
        </is>
      </c>
      <c r="D157" s="109" t="n">
        <v>1074</v>
      </c>
      <c r="E157" s="109" t="n">
        <v>20755</v>
      </c>
      <c r="F157" s="109" t="n">
        <v>20137</v>
      </c>
      <c r="G157" s="109" t="n">
        <v>529</v>
      </c>
      <c r="H157" s="109" t="n">
        <v>0</v>
      </c>
      <c r="I157" s="109" t="n">
        <v>0</v>
      </c>
      <c r="J157" s="109" t="n">
        <v>0</v>
      </c>
      <c r="K157" s="109" t="n">
        <v>0</v>
      </c>
      <c r="L157" s="109" t="n">
        <v>20755</v>
      </c>
      <c r="M157" s="109" t="n">
        <v>6918.33333333333</v>
      </c>
    </row>
    <row r="158" ht="13.8" customHeight="1" s="113">
      <c r="A158" s="109" t="inlineStr">
        <is>
          <t>AC04860</t>
        </is>
      </c>
      <c r="B158" s="109" t="inlineStr">
        <is>
          <t>Alinity c</t>
        </is>
      </c>
      <c r="C158" s="109" t="inlineStr">
        <is>
          <t>HILref</t>
        </is>
      </c>
      <c r="D158" s="109" t="n">
        <v>1074</v>
      </c>
      <c r="E158" s="109" t="n">
        <v>28365</v>
      </c>
      <c r="F158" s="109" t="n">
        <v>25293</v>
      </c>
      <c r="G158" s="109" t="n">
        <v>2513</v>
      </c>
      <c r="H158" s="109" t="n">
        <v>0</v>
      </c>
      <c r="I158" s="109" t="n">
        <v>0</v>
      </c>
      <c r="J158" s="109" t="n">
        <v>0</v>
      </c>
      <c r="K158" s="109" t="n">
        <v>0</v>
      </c>
      <c r="L158" s="109" t="n">
        <v>28365</v>
      </c>
      <c r="M158" s="109" t="n">
        <v>9455</v>
      </c>
    </row>
    <row r="159" ht="13.8" customHeight="1" s="113">
      <c r="A159" s="109" t="inlineStr">
        <is>
          <t>AI22529</t>
        </is>
      </c>
      <c r="B159" s="109" t="inlineStr">
        <is>
          <t>Alinity i</t>
        </is>
      </c>
      <c r="C159" s="109" t="inlineStr">
        <is>
          <t>HIV Ag/Ab</t>
        </is>
      </c>
      <c r="D159" s="109" t="n">
        <v>396</v>
      </c>
      <c r="E159" s="109" t="n">
        <v>1036</v>
      </c>
      <c r="F159" s="109" t="n">
        <v>975</v>
      </c>
      <c r="G159" s="109" t="n">
        <v>57</v>
      </c>
      <c r="H159" s="109" t="n">
        <v>0</v>
      </c>
      <c r="I159" s="109" t="n">
        <v>9</v>
      </c>
      <c r="J159" s="109" t="n">
        <v>367</v>
      </c>
      <c r="K159" s="109" t="n">
        <v>355</v>
      </c>
      <c r="L159" s="109" t="n">
        <v>1412</v>
      </c>
      <c r="M159" s="109" t="n">
        <v>470.666666666667</v>
      </c>
    </row>
    <row r="160" ht="13.8" customHeight="1" s="113">
      <c r="A160" s="109" t="inlineStr">
        <is>
          <t>AI22529</t>
        </is>
      </c>
      <c r="B160" s="109" t="inlineStr">
        <is>
          <t>Alinity i</t>
        </is>
      </c>
      <c r="C160" s="109" t="inlineStr">
        <is>
          <t>HIV Ag/Ab</t>
        </is>
      </c>
      <c r="D160" s="109" t="n">
        <v>396</v>
      </c>
      <c r="E160" s="109" t="n">
        <v>1582</v>
      </c>
      <c r="F160" s="109" t="n">
        <v>1449</v>
      </c>
      <c r="G160" s="109" t="n">
        <v>86</v>
      </c>
      <c r="H160" s="109" t="n">
        <v>0</v>
      </c>
      <c r="I160" s="109" t="n">
        <v>9</v>
      </c>
      <c r="J160" s="109" t="n">
        <v>390</v>
      </c>
      <c r="K160" s="109" t="n">
        <v>363</v>
      </c>
      <c r="L160" s="109" t="n">
        <v>1981</v>
      </c>
      <c r="M160" s="109" t="n">
        <v>660.333333333333</v>
      </c>
    </row>
    <row r="161" ht="13.8" customHeight="1" s="113">
      <c r="A161" s="109" t="inlineStr">
        <is>
          <t>AC04860</t>
        </is>
      </c>
      <c r="B161" s="109" t="inlineStr">
        <is>
          <t>Alinity c</t>
        </is>
      </c>
      <c r="C161" s="109" t="inlineStr">
        <is>
          <t>Icterus</t>
        </is>
      </c>
      <c r="D161" s="109" t="n">
        <v>1072</v>
      </c>
      <c r="E161" s="109" t="n">
        <v>26882</v>
      </c>
      <c r="F161" s="109" t="n">
        <v>22429</v>
      </c>
      <c r="G161" s="109" t="n">
        <v>3322</v>
      </c>
      <c r="H161" s="109" t="n">
        <v>0</v>
      </c>
      <c r="I161" s="109" t="n">
        <v>0</v>
      </c>
      <c r="J161" s="109" t="n">
        <v>0</v>
      </c>
      <c r="K161" s="109" t="n">
        <v>0</v>
      </c>
      <c r="L161" s="109" t="n">
        <v>26882</v>
      </c>
      <c r="M161" s="109" t="n">
        <v>8960.66666666667</v>
      </c>
    </row>
    <row r="162" ht="13.8" customHeight="1" s="113">
      <c r="A162" s="109" t="inlineStr">
        <is>
          <t>AC04860</t>
        </is>
      </c>
      <c r="B162" s="109" t="inlineStr">
        <is>
          <t>Alinity c</t>
        </is>
      </c>
      <c r="C162" s="109" t="inlineStr">
        <is>
          <t>Icterus</t>
        </is>
      </c>
      <c r="D162" s="109" t="n">
        <v>1072</v>
      </c>
      <c r="E162" s="109" t="n">
        <v>20738</v>
      </c>
      <c r="F162" s="109" t="n">
        <v>20121</v>
      </c>
      <c r="G162" s="109" t="n">
        <v>534</v>
      </c>
      <c r="H162" s="109" t="n">
        <v>0</v>
      </c>
      <c r="I162" s="109" t="n">
        <v>0</v>
      </c>
      <c r="J162" s="109" t="n">
        <v>0</v>
      </c>
      <c r="K162" s="109" t="n">
        <v>0</v>
      </c>
      <c r="L162" s="109" t="n">
        <v>20738</v>
      </c>
      <c r="M162" s="109" t="n">
        <v>6912.66666666667</v>
      </c>
    </row>
    <row r="163" ht="13.8" customHeight="1" s="113">
      <c r="A163" s="109" t="inlineStr">
        <is>
          <t>AC04860</t>
        </is>
      </c>
      <c r="B163" s="109" t="inlineStr">
        <is>
          <t>Alinity c</t>
        </is>
      </c>
      <c r="C163" s="109" t="inlineStr">
        <is>
          <t>Icterus</t>
        </is>
      </c>
      <c r="D163" s="109" t="n">
        <v>1072</v>
      </c>
      <c r="E163" s="109" t="n">
        <v>28337</v>
      </c>
      <c r="F163" s="109" t="n">
        <v>25270</v>
      </c>
      <c r="G163" s="109" t="n">
        <v>2504</v>
      </c>
      <c r="H163" s="109" t="n">
        <v>0</v>
      </c>
      <c r="I163" s="109" t="n">
        <v>0</v>
      </c>
      <c r="J163" s="109" t="n">
        <v>0</v>
      </c>
      <c r="K163" s="109" t="n">
        <v>0</v>
      </c>
      <c r="L163" s="109" t="n">
        <v>28337</v>
      </c>
      <c r="M163" s="109" t="n">
        <v>9445.66666666667</v>
      </c>
    </row>
    <row r="164" ht="13.8" customHeight="1" s="113">
      <c r="A164" s="109" t="inlineStr">
        <is>
          <t>AC04860</t>
        </is>
      </c>
      <c r="B164" s="109" t="inlineStr">
        <is>
          <t>Alinity c</t>
        </is>
      </c>
      <c r="C164" s="109" t="inlineStr">
        <is>
          <t>IgA</t>
        </is>
      </c>
      <c r="D164" s="109" t="n">
        <v>1057</v>
      </c>
      <c r="E164" s="109" t="n">
        <v>1134</v>
      </c>
      <c r="F164" s="109" t="n">
        <v>1017</v>
      </c>
      <c r="G164" s="109" t="n">
        <v>129</v>
      </c>
      <c r="H164" s="109" t="n">
        <v>37</v>
      </c>
      <c r="I164" s="109" t="n">
        <v>105</v>
      </c>
      <c r="J164" s="109" t="n">
        <v>281</v>
      </c>
      <c r="K164" s="109" t="n">
        <v>260</v>
      </c>
      <c r="L164" s="109" t="n">
        <v>1520</v>
      </c>
      <c r="M164" s="109" t="n">
        <v>506.666666666667</v>
      </c>
    </row>
    <row r="165" ht="13.8" customHeight="1" s="113">
      <c r="A165" s="109" t="inlineStr">
        <is>
          <t>AC04860</t>
        </is>
      </c>
      <c r="B165" s="109" t="inlineStr">
        <is>
          <t>Alinity c</t>
        </is>
      </c>
      <c r="C165" s="109" t="inlineStr">
        <is>
          <t>IgE</t>
        </is>
      </c>
      <c r="D165" s="109" t="n">
        <v>1908</v>
      </c>
      <c r="E165" s="109" t="n">
        <v>753</v>
      </c>
      <c r="F165" s="109" t="n">
        <v>618</v>
      </c>
      <c r="G165" s="109" t="n">
        <v>121</v>
      </c>
      <c r="H165" s="109" t="n">
        <v>39</v>
      </c>
      <c r="I165" s="109" t="n">
        <v>48</v>
      </c>
      <c r="J165" s="109" t="n">
        <v>218</v>
      </c>
      <c r="K165" s="109" t="n">
        <v>211</v>
      </c>
      <c r="L165" s="109" t="n">
        <v>1019</v>
      </c>
      <c r="M165" s="109" t="n">
        <v>339.666666666667</v>
      </c>
    </row>
    <row r="166" ht="13.8" customHeight="1" s="113">
      <c r="A166" s="109" t="inlineStr">
        <is>
          <t>AC04860</t>
        </is>
      </c>
      <c r="B166" s="109" t="inlineStr">
        <is>
          <t>Alinity c</t>
        </is>
      </c>
      <c r="C166" s="109" t="inlineStr">
        <is>
          <t>IgG</t>
        </is>
      </c>
      <c r="D166" s="109" t="n">
        <v>1058</v>
      </c>
      <c r="E166" s="109" t="n">
        <v>690</v>
      </c>
      <c r="F166" s="109" t="n">
        <v>638</v>
      </c>
      <c r="G166" s="109" t="n">
        <v>53</v>
      </c>
      <c r="H166" s="109" t="n">
        <v>15</v>
      </c>
      <c r="I166" s="109" t="n">
        <v>90</v>
      </c>
      <c r="J166" s="109" t="n">
        <v>291</v>
      </c>
      <c r="K166" s="109" t="n">
        <v>251</v>
      </c>
      <c r="L166" s="109" t="n">
        <v>1071</v>
      </c>
      <c r="M166" s="109" t="n">
        <v>357</v>
      </c>
    </row>
    <row r="167" ht="13.8" customHeight="1" s="113">
      <c r="A167" s="109" t="inlineStr">
        <is>
          <t>AC04860</t>
        </is>
      </c>
      <c r="B167" s="109" t="inlineStr">
        <is>
          <t>Alinity c</t>
        </is>
      </c>
      <c r="C167" s="109" t="inlineStr">
        <is>
          <t>IgM</t>
        </is>
      </c>
      <c r="D167" s="109" t="n">
        <v>1059</v>
      </c>
      <c r="E167" s="109" t="n">
        <v>712</v>
      </c>
      <c r="F167" s="109" t="n">
        <v>662</v>
      </c>
      <c r="G167" s="109" t="n">
        <v>105</v>
      </c>
      <c r="H167" s="109" t="n">
        <v>70</v>
      </c>
      <c r="I167" s="109" t="n">
        <v>54</v>
      </c>
      <c r="J167" s="109" t="n">
        <v>276</v>
      </c>
      <c r="K167" s="109" t="n">
        <v>243</v>
      </c>
      <c r="L167" s="109" t="n">
        <v>1042</v>
      </c>
      <c r="M167" s="109" t="n">
        <v>347.333333333333</v>
      </c>
    </row>
    <row r="168" ht="13.8" customHeight="1" s="113">
      <c r="A168" s="109" t="inlineStr">
        <is>
          <t>AI22529</t>
        </is>
      </c>
      <c r="B168" s="109" t="inlineStr">
        <is>
          <t>Alinity i</t>
        </is>
      </c>
      <c r="C168" s="109" t="inlineStr">
        <is>
          <t>Insulin</t>
        </is>
      </c>
      <c r="D168" s="109" t="n">
        <v>774</v>
      </c>
      <c r="E168" s="109" t="n">
        <v>1628</v>
      </c>
      <c r="F168" s="109" t="n">
        <v>1501</v>
      </c>
      <c r="G168" s="109" t="n">
        <v>89</v>
      </c>
      <c r="H168" s="109" t="n">
        <v>4</v>
      </c>
      <c r="I168" s="109" t="n">
        <v>48</v>
      </c>
      <c r="J168" s="109" t="n">
        <v>434</v>
      </c>
      <c r="K168" s="109" t="n">
        <v>248</v>
      </c>
      <c r="L168" s="109" t="n">
        <v>2110</v>
      </c>
      <c r="M168" s="109" t="n">
        <v>703.333333333333</v>
      </c>
    </row>
    <row r="169" ht="13.8" customHeight="1" s="113">
      <c r="A169" s="109" t="inlineStr">
        <is>
          <t>AI22529</t>
        </is>
      </c>
      <c r="B169" s="109" t="inlineStr">
        <is>
          <t>Alinity i</t>
        </is>
      </c>
      <c r="C169" s="109" t="inlineStr">
        <is>
          <t>iPTH Stat</t>
        </is>
      </c>
      <c r="D169" s="109" t="n">
        <v>67</v>
      </c>
      <c r="E169" s="109" t="n">
        <v>2342</v>
      </c>
      <c r="F169" s="109" t="n">
        <v>2299</v>
      </c>
      <c r="G169" s="109" t="n">
        <v>35</v>
      </c>
      <c r="H169" s="109" t="n">
        <v>0</v>
      </c>
      <c r="I169" s="109" t="n">
        <v>48</v>
      </c>
      <c r="J169" s="109" t="n">
        <v>237</v>
      </c>
      <c r="K169" s="109" t="n">
        <v>192</v>
      </c>
      <c r="L169" s="109" t="n">
        <v>2627</v>
      </c>
      <c r="M169" s="109" t="n">
        <v>875.666666666667</v>
      </c>
    </row>
    <row r="170" ht="13.8" customHeight="1" s="113">
      <c r="A170" s="109" t="inlineStr">
        <is>
          <t>AC04860</t>
        </is>
      </c>
      <c r="B170" s="109" t="inlineStr">
        <is>
          <t>Alinity c</t>
        </is>
      </c>
      <c r="C170" s="109" t="inlineStr">
        <is>
          <t>Iron2</t>
        </is>
      </c>
      <c r="D170" s="109" t="n">
        <v>1460</v>
      </c>
      <c r="E170" s="109" t="n">
        <v>6340</v>
      </c>
      <c r="F170" s="109" t="n">
        <v>5491</v>
      </c>
      <c r="G170" s="109" t="n">
        <v>680</v>
      </c>
      <c r="H170" s="109" t="n">
        <v>0</v>
      </c>
      <c r="I170" s="109" t="n">
        <v>64</v>
      </c>
      <c r="J170" s="109" t="n">
        <v>362</v>
      </c>
      <c r="K170" s="109" t="n">
        <v>321</v>
      </c>
      <c r="L170" s="109" t="n">
        <v>6766</v>
      </c>
      <c r="M170" s="109" t="n">
        <v>2255.33333333333</v>
      </c>
    </row>
    <row r="171" ht="13.8" customHeight="1" s="113">
      <c r="A171" s="109" t="inlineStr">
        <is>
          <t>AC04860</t>
        </is>
      </c>
      <c r="B171" s="109" t="inlineStr">
        <is>
          <t>Alinity c</t>
        </is>
      </c>
      <c r="C171" s="109" t="inlineStr">
        <is>
          <t>Iron2</t>
        </is>
      </c>
      <c r="D171" s="109" t="n">
        <v>1460</v>
      </c>
      <c r="E171" s="109" t="n">
        <v>910</v>
      </c>
      <c r="F171" s="109" t="n">
        <v>880</v>
      </c>
      <c r="G171" s="109" t="n">
        <v>20</v>
      </c>
      <c r="H171" s="109" t="n">
        <v>0</v>
      </c>
      <c r="I171" s="109" t="n">
        <v>64</v>
      </c>
      <c r="J171" s="109" t="n">
        <v>250</v>
      </c>
      <c r="K171" s="109" t="n">
        <v>233</v>
      </c>
      <c r="L171" s="109" t="n">
        <v>1224</v>
      </c>
      <c r="M171" s="109" t="n">
        <v>408</v>
      </c>
    </row>
    <row r="172" ht="13.8" customHeight="1" s="113">
      <c r="A172" s="109" t="inlineStr">
        <is>
          <t>AC04860</t>
        </is>
      </c>
      <c r="B172" s="109" t="inlineStr">
        <is>
          <t>Alinity c</t>
        </is>
      </c>
      <c r="C172" s="109" t="inlineStr">
        <is>
          <t>Iron2</t>
        </is>
      </c>
      <c r="D172" s="109" t="n">
        <v>1460</v>
      </c>
      <c r="E172" s="109" t="n">
        <v>5906</v>
      </c>
      <c r="F172" s="109" t="n">
        <v>5256</v>
      </c>
      <c r="G172" s="109" t="n">
        <v>464</v>
      </c>
      <c r="H172" s="109" t="n">
        <v>0</v>
      </c>
      <c r="I172" s="109" t="n">
        <v>80</v>
      </c>
      <c r="J172" s="109" t="n">
        <v>295</v>
      </c>
      <c r="K172" s="109" t="n">
        <v>283</v>
      </c>
      <c r="L172" s="109" t="n">
        <v>6281</v>
      </c>
      <c r="M172" s="109" t="n">
        <v>2093.66666666667</v>
      </c>
    </row>
    <row r="173" ht="13.8" customHeight="1" s="113">
      <c r="A173" s="109" t="inlineStr">
        <is>
          <t>AC04860</t>
        </is>
      </c>
      <c r="B173" s="109" t="inlineStr">
        <is>
          <t>Alinity c</t>
        </is>
      </c>
      <c r="C173" s="109" t="inlineStr">
        <is>
          <t>K-C</t>
        </is>
      </c>
      <c r="D173" s="109" t="n">
        <v>1102</v>
      </c>
      <c r="E173" s="109" t="n">
        <v>10716</v>
      </c>
      <c r="F173" s="109" t="n">
        <v>9348</v>
      </c>
      <c r="G173" s="109" t="n">
        <v>1177</v>
      </c>
      <c r="H173" s="109" t="n">
        <v>0</v>
      </c>
      <c r="I173" s="109" t="n">
        <v>738</v>
      </c>
      <c r="J173" s="109" t="n">
        <v>312</v>
      </c>
      <c r="K173" s="109" t="n">
        <v>284</v>
      </c>
      <c r="L173" s="109" t="n">
        <v>11766</v>
      </c>
      <c r="M173" s="109" t="n">
        <v>3922</v>
      </c>
    </row>
    <row r="174" ht="13.8" customHeight="1" s="113">
      <c r="A174" s="109" t="inlineStr">
        <is>
          <t>AC04860</t>
        </is>
      </c>
      <c r="B174" s="109" t="inlineStr">
        <is>
          <t>Alinity c</t>
        </is>
      </c>
      <c r="C174" s="109" t="inlineStr">
        <is>
          <t>K-C</t>
        </is>
      </c>
      <c r="D174" s="109" t="n">
        <v>1102</v>
      </c>
      <c r="E174" s="109" t="n">
        <v>12122</v>
      </c>
      <c r="F174" s="109" t="n">
        <v>11774</v>
      </c>
      <c r="G174" s="109" t="n">
        <v>282</v>
      </c>
      <c r="H174" s="109" t="n">
        <v>0</v>
      </c>
      <c r="I174" s="109" t="n">
        <v>606</v>
      </c>
      <c r="J174" s="109" t="n">
        <v>291</v>
      </c>
      <c r="K174" s="109" t="n">
        <v>274</v>
      </c>
      <c r="L174" s="109" t="n">
        <v>13019</v>
      </c>
      <c r="M174" s="109" t="n">
        <v>4339.66666666667</v>
      </c>
    </row>
    <row r="175" ht="13.8" customHeight="1" s="113">
      <c r="A175" s="109" t="inlineStr">
        <is>
          <t>AC04860</t>
        </is>
      </c>
      <c r="B175" s="109" t="inlineStr">
        <is>
          <t>Alinity c</t>
        </is>
      </c>
      <c r="C175" s="109" t="inlineStr">
        <is>
          <t>K-C</t>
        </is>
      </c>
      <c r="D175" s="109" t="n">
        <v>1102</v>
      </c>
      <c r="E175" s="109" t="n">
        <v>11168</v>
      </c>
      <c r="F175" s="109" t="n">
        <v>10098</v>
      </c>
      <c r="G175" s="109" t="n">
        <v>835</v>
      </c>
      <c r="H175" s="109" t="n">
        <v>0</v>
      </c>
      <c r="I175" s="109" t="n">
        <v>696</v>
      </c>
      <c r="J175" s="109" t="n">
        <v>277</v>
      </c>
      <c r="K175" s="109" t="n">
        <v>267</v>
      </c>
      <c r="L175" s="109" t="n">
        <v>12141</v>
      </c>
      <c r="M175" s="109" t="n">
        <v>4047</v>
      </c>
    </row>
    <row r="176" ht="13.8" customHeight="1" s="113">
      <c r="A176" s="109" t="inlineStr">
        <is>
          <t>AC04860</t>
        </is>
      </c>
      <c r="B176" s="109" t="inlineStr">
        <is>
          <t>Alinity c</t>
        </is>
      </c>
      <c r="C176" s="109" t="inlineStr">
        <is>
          <t>K-CU</t>
        </is>
      </c>
      <c r="D176" s="109" t="n">
        <v>1134</v>
      </c>
      <c r="E176" s="109" t="n">
        <v>3</v>
      </c>
      <c r="F176" s="109" t="n">
        <v>3</v>
      </c>
      <c r="G176" s="109" t="n">
        <v>0</v>
      </c>
      <c r="H176" s="109" t="n">
        <v>0</v>
      </c>
      <c r="I176" s="109" t="n">
        <v>720</v>
      </c>
      <c r="J176" s="109" t="n">
        <v>258</v>
      </c>
      <c r="K176" s="109" t="n">
        <v>233</v>
      </c>
      <c r="L176" s="109" t="n">
        <v>981</v>
      </c>
      <c r="M176" s="109" t="n">
        <v>327</v>
      </c>
    </row>
    <row r="177" ht="13.8" customHeight="1" s="113">
      <c r="A177" s="109" t="inlineStr">
        <is>
          <t>AC04860</t>
        </is>
      </c>
      <c r="B177" s="109" t="inlineStr">
        <is>
          <t>Alinity c</t>
        </is>
      </c>
      <c r="C177" s="109" t="inlineStr">
        <is>
          <t>K-CU</t>
        </is>
      </c>
      <c r="D177" s="109" t="n">
        <v>1134</v>
      </c>
      <c r="E177" s="109" t="n">
        <v>49</v>
      </c>
      <c r="F177" s="109" t="n">
        <v>49</v>
      </c>
      <c r="G177" s="109" t="n">
        <v>1</v>
      </c>
      <c r="H177" s="109" t="n">
        <v>0</v>
      </c>
      <c r="I177" s="109" t="n">
        <v>576</v>
      </c>
      <c r="J177" s="109" t="n">
        <v>242</v>
      </c>
      <c r="K177" s="109" t="n">
        <v>227</v>
      </c>
      <c r="L177" s="109" t="n">
        <v>867</v>
      </c>
      <c r="M177" s="109" t="n">
        <v>289</v>
      </c>
    </row>
    <row r="178" ht="13.8" customHeight="1" s="113">
      <c r="A178" s="109" t="inlineStr">
        <is>
          <t>AC04860</t>
        </is>
      </c>
      <c r="B178" s="109" t="inlineStr">
        <is>
          <t>Alinity c</t>
        </is>
      </c>
      <c r="C178" s="109" t="inlineStr">
        <is>
          <t>K-CU</t>
        </is>
      </c>
      <c r="D178" s="109" t="n">
        <v>1134</v>
      </c>
      <c r="E178" s="109" t="n">
        <v>2</v>
      </c>
      <c r="F178" s="109" t="n">
        <v>1</v>
      </c>
      <c r="G178" s="109" t="n">
        <v>0</v>
      </c>
      <c r="H178" s="109" t="n">
        <v>0</v>
      </c>
      <c r="I178" s="109" t="n">
        <v>702</v>
      </c>
      <c r="J178" s="109" t="n">
        <v>237</v>
      </c>
      <c r="K178" s="109" t="n">
        <v>229</v>
      </c>
      <c r="L178" s="109" t="n">
        <v>941</v>
      </c>
      <c r="M178" s="109" t="n">
        <v>313.666666666667</v>
      </c>
    </row>
    <row r="179" ht="13.8" customHeight="1" s="113">
      <c r="A179" s="109" t="inlineStr">
        <is>
          <t>AC04860</t>
        </is>
      </c>
      <c r="B179" s="109" t="inlineStr">
        <is>
          <t>Alinity c</t>
        </is>
      </c>
      <c r="C179" s="109" t="inlineStr">
        <is>
          <t>LDH2F</t>
        </is>
      </c>
      <c r="D179" s="109" t="n">
        <v>1431</v>
      </c>
      <c r="E179" s="109" t="n">
        <v>3406</v>
      </c>
      <c r="F179" s="109" t="n">
        <v>3087</v>
      </c>
      <c r="G179" s="109" t="n">
        <v>209</v>
      </c>
      <c r="H179" s="109" t="n">
        <v>1</v>
      </c>
      <c r="I179" s="109" t="n">
        <v>12</v>
      </c>
      <c r="J179" s="109" t="n">
        <v>268</v>
      </c>
      <c r="K179" s="109" t="n">
        <v>242</v>
      </c>
      <c r="L179" s="109" t="n">
        <v>3686</v>
      </c>
      <c r="M179" s="109" t="n">
        <v>1228.66666666667</v>
      </c>
    </row>
    <row r="180" ht="13.8" customHeight="1" s="113">
      <c r="A180" s="109" t="inlineStr">
        <is>
          <t>AC04860</t>
        </is>
      </c>
      <c r="B180" s="109" t="inlineStr">
        <is>
          <t>Alinity c</t>
        </is>
      </c>
      <c r="C180" s="109" t="inlineStr">
        <is>
          <t>LDH2F</t>
        </is>
      </c>
      <c r="D180" s="109" t="n">
        <v>1431</v>
      </c>
      <c r="E180" s="109" t="n">
        <v>10207</v>
      </c>
      <c r="F180" s="109" t="n">
        <v>9630</v>
      </c>
      <c r="G180" s="109" t="n">
        <v>475</v>
      </c>
      <c r="H180" s="109" t="n">
        <v>36</v>
      </c>
      <c r="I180" s="109" t="n">
        <v>15</v>
      </c>
      <c r="J180" s="109" t="n">
        <v>274</v>
      </c>
      <c r="K180" s="109" t="n">
        <v>252</v>
      </c>
      <c r="L180" s="109" t="n">
        <v>10496</v>
      </c>
      <c r="M180" s="109" t="n">
        <v>3498.66666666667</v>
      </c>
    </row>
    <row r="181" ht="13.8" customHeight="1" s="113">
      <c r="A181" s="109" t="inlineStr">
        <is>
          <t>AC04860</t>
        </is>
      </c>
      <c r="B181" s="109" t="inlineStr">
        <is>
          <t>Alinity c</t>
        </is>
      </c>
      <c r="C181" s="109" t="inlineStr">
        <is>
          <t>LDH2F</t>
        </is>
      </c>
      <c r="D181" s="109" t="n">
        <v>1431</v>
      </c>
      <c r="E181" s="109" t="n">
        <v>4756</v>
      </c>
      <c r="F181" s="109" t="n">
        <v>4197</v>
      </c>
      <c r="G181" s="109" t="n">
        <v>390</v>
      </c>
      <c r="H181" s="109" t="n">
        <v>7</v>
      </c>
      <c r="I181" s="109" t="n">
        <v>15</v>
      </c>
      <c r="J181" s="109" t="n">
        <v>290</v>
      </c>
      <c r="K181" s="109" t="n">
        <v>275</v>
      </c>
      <c r="L181" s="109" t="n">
        <v>5061</v>
      </c>
      <c r="M181" s="109" t="n">
        <v>1687</v>
      </c>
    </row>
    <row r="182" ht="13.8" customHeight="1" s="113">
      <c r="A182" s="109" t="inlineStr">
        <is>
          <t>AI22529</t>
        </is>
      </c>
      <c r="B182" s="109" t="inlineStr">
        <is>
          <t>Alinity i</t>
        </is>
      </c>
      <c r="C182" s="109" t="inlineStr">
        <is>
          <t>LH</t>
        </is>
      </c>
      <c r="D182" s="109" t="n">
        <v>645</v>
      </c>
      <c r="E182" s="109" t="n">
        <v>497</v>
      </c>
      <c r="F182" s="109" t="n">
        <v>451</v>
      </c>
      <c r="G182" s="109" t="n">
        <v>25</v>
      </c>
      <c r="H182" s="109" t="n">
        <v>0</v>
      </c>
      <c r="I182" s="109" t="n">
        <v>0</v>
      </c>
      <c r="J182" s="109" t="n">
        <v>381</v>
      </c>
      <c r="K182" s="109" t="n">
        <v>221</v>
      </c>
      <c r="L182" s="109" t="n">
        <v>878</v>
      </c>
      <c r="M182" s="109" t="n">
        <v>292.666666666667</v>
      </c>
    </row>
    <row r="183" ht="13.8" customHeight="1" s="113">
      <c r="A183" s="109" t="inlineStr">
        <is>
          <t>AC04860</t>
        </is>
      </c>
      <c r="B183" s="109" t="inlineStr">
        <is>
          <t>Alinity c</t>
        </is>
      </c>
      <c r="C183" s="109" t="inlineStr">
        <is>
          <t>Lip2</t>
        </is>
      </c>
      <c r="D183" s="109" t="n">
        <v>1429</v>
      </c>
      <c r="E183" s="109" t="n">
        <v>2097</v>
      </c>
      <c r="F183" s="109" t="n">
        <v>1833</v>
      </c>
      <c r="G183" s="109" t="n">
        <v>221</v>
      </c>
      <c r="H183" s="109" t="n">
        <v>14</v>
      </c>
      <c r="I183" s="109" t="n">
        <v>204</v>
      </c>
      <c r="J183" s="109" t="n">
        <v>243</v>
      </c>
      <c r="K183" s="109" t="n">
        <v>213</v>
      </c>
      <c r="L183" s="109" t="n">
        <v>2544</v>
      </c>
      <c r="M183" s="109" t="n">
        <v>848</v>
      </c>
    </row>
    <row r="184" ht="13.8" customHeight="1" s="113">
      <c r="A184" s="109" t="inlineStr">
        <is>
          <t>AC04860</t>
        </is>
      </c>
      <c r="B184" s="109" t="inlineStr">
        <is>
          <t>Alinity c</t>
        </is>
      </c>
      <c r="C184" s="109" t="inlineStr">
        <is>
          <t>Lip2</t>
        </is>
      </c>
      <c r="D184" s="109" t="n">
        <v>1429</v>
      </c>
      <c r="E184" s="109" t="n">
        <v>5923</v>
      </c>
      <c r="F184" s="109" t="n">
        <v>5553</v>
      </c>
      <c r="G184" s="109" t="n">
        <v>362</v>
      </c>
      <c r="H184" s="109" t="n">
        <v>79</v>
      </c>
      <c r="I184" s="109" t="n">
        <v>390</v>
      </c>
      <c r="J184" s="109" t="n">
        <v>223</v>
      </c>
      <c r="K184" s="109" t="n">
        <v>215</v>
      </c>
      <c r="L184" s="109" t="n">
        <v>6536</v>
      </c>
      <c r="M184" s="109" t="n">
        <v>2178.66666666667</v>
      </c>
    </row>
    <row r="185" ht="13.8" customHeight="1" s="113">
      <c r="A185" s="109" t="inlineStr">
        <is>
          <t>AC04860</t>
        </is>
      </c>
      <c r="B185" s="109" t="inlineStr">
        <is>
          <t>Alinity c</t>
        </is>
      </c>
      <c r="C185" s="109" t="inlineStr">
        <is>
          <t>Lip2</t>
        </is>
      </c>
      <c r="D185" s="109" t="n">
        <v>1429</v>
      </c>
      <c r="E185" s="109" t="n">
        <v>2382</v>
      </c>
      <c r="F185" s="109" t="n">
        <v>2163</v>
      </c>
      <c r="G185" s="109" t="n">
        <v>200</v>
      </c>
      <c r="H185" s="109" t="n">
        <v>17</v>
      </c>
      <c r="I185" s="109" t="n">
        <v>276</v>
      </c>
      <c r="J185" s="109" t="n">
        <v>267</v>
      </c>
      <c r="K185" s="109" t="n">
        <v>257</v>
      </c>
      <c r="L185" s="109" t="n">
        <v>2925</v>
      </c>
      <c r="M185" s="109" t="n">
        <v>975</v>
      </c>
    </row>
    <row r="186" ht="13.8" customHeight="1" s="113">
      <c r="A186" s="109" t="inlineStr">
        <is>
          <t>AC04860</t>
        </is>
      </c>
      <c r="B186" s="109" t="inlineStr">
        <is>
          <t>Alinity c</t>
        </is>
      </c>
      <c r="C186" s="109" t="inlineStr">
        <is>
          <t>Lipemia</t>
        </is>
      </c>
      <c r="D186" s="109" t="n">
        <v>1073</v>
      </c>
      <c r="E186" s="109" t="n">
        <v>26880</v>
      </c>
      <c r="F186" s="109" t="n">
        <v>22428</v>
      </c>
      <c r="G186" s="109" t="n">
        <v>3322</v>
      </c>
      <c r="H186" s="109" t="n">
        <v>0</v>
      </c>
      <c r="I186" s="109" t="n">
        <v>0</v>
      </c>
      <c r="J186" s="109" t="n">
        <v>0</v>
      </c>
      <c r="K186" s="109" t="n">
        <v>0</v>
      </c>
      <c r="L186" s="109" t="n">
        <v>26880</v>
      </c>
      <c r="M186" s="109" t="n">
        <v>8960</v>
      </c>
    </row>
    <row r="187" ht="13.8" customHeight="1" s="113">
      <c r="A187" s="109" t="inlineStr">
        <is>
          <t>AC04860</t>
        </is>
      </c>
      <c r="B187" s="109" t="inlineStr">
        <is>
          <t>Alinity c</t>
        </is>
      </c>
      <c r="C187" s="109" t="inlineStr">
        <is>
          <t>Lipemia</t>
        </is>
      </c>
      <c r="D187" s="109" t="n">
        <v>1073</v>
      </c>
      <c r="E187" s="109" t="n">
        <v>20740</v>
      </c>
      <c r="F187" s="109" t="n">
        <v>20123</v>
      </c>
      <c r="G187" s="109" t="n">
        <v>534</v>
      </c>
      <c r="H187" s="109" t="n">
        <v>0</v>
      </c>
      <c r="I187" s="109" t="n">
        <v>0</v>
      </c>
      <c r="J187" s="109" t="n">
        <v>0</v>
      </c>
      <c r="K187" s="109" t="n">
        <v>0</v>
      </c>
      <c r="L187" s="109" t="n">
        <v>20740</v>
      </c>
      <c r="M187" s="109" t="n">
        <v>6913.33333333333</v>
      </c>
    </row>
    <row r="188" ht="13.8" customHeight="1" s="113">
      <c r="A188" s="109" t="inlineStr">
        <is>
          <t>AC04860</t>
        </is>
      </c>
      <c r="B188" s="109" t="inlineStr">
        <is>
          <t>Alinity c</t>
        </is>
      </c>
      <c r="C188" s="109" t="inlineStr">
        <is>
          <t>Lipemia</t>
        </is>
      </c>
      <c r="D188" s="109" t="n">
        <v>1073</v>
      </c>
      <c r="E188" s="109" t="n">
        <v>28337</v>
      </c>
      <c r="F188" s="109" t="n">
        <v>25270</v>
      </c>
      <c r="G188" s="109" t="n">
        <v>2504</v>
      </c>
      <c r="H188" s="109" t="n">
        <v>0</v>
      </c>
      <c r="I188" s="109" t="n">
        <v>0</v>
      </c>
      <c r="J188" s="109" t="n">
        <v>0</v>
      </c>
      <c r="K188" s="109" t="n">
        <v>0</v>
      </c>
      <c r="L188" s="109" t="n">
        <v>28337</v>
      </c>
      <c r="M188" s="109" t="n">
        <v>9445.66666666667</v>
      </c>
    </row>
    <row r="189" ht="13.8" customHeight="1" s="113">
      <c r="A189" s="109" t="inlineStr">
        <is>
          <t>AC04860</t>
        </is>
      </c>
      <c r="B189" s="109" t="inlineStr">
        <is>
          <t>Alinity c</t>
        </is>
      </c>
      <c r="C189" s="109" t="inlineStr">
        <is>
          <t>Lithium</t>
        </is>
      </c>
      <c r="D189" s="109" t="n">
        <v>1976</v>
      </c>
      <c r="E189" s="109" t="n">
        <v>118</v>
      </c>
      <c r="F189" s="109" t="n">
        <v>118</v>
      </c>
      <c r="G189" s="109" t="n">
        <v>2</v>
      </c>
      <c r="H189" s="109" t="n">
        <v>0</v>
      </c>
      <c r="I189" s="109" t="n">
        <v>150</v>
      </c>
      <c r="J189" s="109" t="n">
        <v>223</v>
      </c>
      <c r="K189" s="109" t="n">
        <v>200</v>
      </c>
      <c r="L189" s="109" t="n">
        <v>491</v>
      </c>
      <c r="M189" s="109" t="n">
        <v>163.666666666667</v>
      </c>
    </row>
    <row r="190" ht="13.8" customHeight="1" s="113">
      <c r="A190" s="109" t="inlineStr">
        <is>
          <t>AC04860</t>
        </is>
      </c>
      <c r="B190" s="109" t="inlineStr">
        <is>
          <t>Alinity c</t>
        </is>
      </c>
      <c r="C190" s="109" t="inlineStr">
        <is>
          <t>Lithium</t>
        </is>
      </c>
      <c r="D190" s="109" t="n">
        <v>1976</v>
      </c>
      <c r="E190" s="109" t="n">
        <v>1</v>
      </c>
      <c r="F190" s="109" t="n">
        <v>1</v>
      </c>
      <c r="G190" s="109" t="n">
        <v>0</v>
      </c>
      <c r="H190" s="109" t="n">
        <v>0</v>
      </c>
      <c r="I190" s="109" t="n">
        <v>6</v>
      </c>
      <c r="J190" s="109" t="n">
        <v>4</v>
      </c>
      <c r="K190" s="109" t="n">
        <v>4</v>
      </c>
      <c r="L190" s="109" t="n">
        <v>11</v>
      </c>
      <c r="M190" s="109" t="n">
        <v>3.66666666666667</v>
      </c>
    </row>
    <row r="191" ht="13.8" customHeight="1" s="113">
      <c r="A191" s="109" t="inlineStr">
        <is>
          <t>AC04860</t>
        </is>
      </c>
      <c r="B191" s="109" t="inlineStr">
        <is>
          <t>Alinity c</t>
        </is>
      </c>
      <c r="C191" s="109" t="inlineStr">
        <is>
          <t>Magnesium</t>
        </is>
      </c>
      <c r="D191" s="109" t="n">
        <v>1070</v>
      </c>
      <c r="E191" s="109" t="n">
        <v>2998</v>
      </c>
      <c r="F191" s="109" t="n">
        <v>2603</v>
      </c>
      <c r="G191" s="109" t="n">
        <v>313</v>
      </c>
      <c r="H191" s="109" t="n">
        <v>0</v>
      </c>
      <c r="I191" s="109" t="n">
        <v>36</v>
      </c>
      <c r="J191" s="109" t="n">
        <v>254</v>
      </c>
      <c r="K191" s="109" t="n">
        <v>234</v>
      </c>
      <c r="L191" s="109" t="n">
        <v>3288</v>
      </c>
      <c r="M191" s="109" t="n">
        <v>1096</v>
      </c>
    </row>
    <row r="192" ht="13.8" customHeight="1" s="113">
      <c r="A192" s="109" t="inlineStr">
        <is>
          <t>AC04860</t>
        </is>
      </c>
      <c r="B192" s="109" t="inlineStr">
        <is>
          <t>Alinity c</t>
        </is>
      </c>
      <c r="C192" s="109" t="inlineStr">
        <is>
          <t>Magnesium</t>
        </is>
      </c>
      <c r="D192" s="109" t="n">
        <v>1070</v>
      </c>
      <c r="E192" s="109" t="n">
        <v>1256</v>
      </c>
      <c r="F192" s="109" t="n">
        <v>1199</v>
      </c>
      <c r="G192" s="109" t="n">
        <v>46</v>
      </c>
      <c r="H192" s="109" t="n">
        <v>0</v>
      </c>
      <c r="I192" s="109" t="n">
        <v>45</v>
      </c>
      <c r="J192" s="109" t="n">
        <v>220</v>
      </c>
      <c r="K192" s="109" t="n">
        <v>209</v>
      </c>
      <c r="L192" s="109" t="n">
        <v>1521</v>
      </c>
      <c r="M192" s="109" t="n">
        <v>507</v>
      </c>
    </row>
    <row r="193" ht="13.8" customHeight="1" s="113">
      <c r="A193" s="109" t="inlineStr">
        <is>
          <t>AC04860</t>
        </is>
      </c>
      <c r="B193" s="109" t="inlineStr">
        <is>
          <t>Alinity c</t>
        </is>
      </c>
      <c r="C193" s="109" t="inlineStr">
        <is>
          <t>Magnesium</t>
        </is>
      </c>
      <c r="D193" s="109" t="n">
        <v>1070</v>
      </c>
      <c r="E193" s="109" t="n">
        <v>2858</v>
      </c>
      <c r="F193" s="109" t="n">
        <v>2526</v>
      </c>
      <c r="G193" s="109" t="n">
        <v>226</v>
      </c>
      <c r="H193" s="109" t="n">
        <v>0</v>
      </c>
      <c r="I193" s="109" t="n">
        <v>36</v>
      </c>
      <c r="J193" s="109" t="n">
        <v>233</v>
      </c>
      <c r="K193" s="109" t="n">
        <v>224</v>
      </c>
      <c r="L193" s="109" t="n">
        <v>3127</v>
      </c>
      <c r="M193" s="109" t="n">
        <v>1042.33333333333</v>
      </c>
    </row>
    <row r="194" ht="13.8" customHeight="1" s="113">
      <c r="A194" s="109" t="inlineStr">
        <is>
          <t>AC04860</t>
        </is>
      </c>
      <c r="B194" s="109" t="inlineStr">
        <is>
          <t>Alinity c</t>
        </is>
      </c>
      <c r="C194" s="109" t="inlineStr">
        <is>
          <t>MagnesiumU</t>
        </is>
      </c>
      <c r="D194" s="109" t="n">
        <v>1099</v>
      </c>
      <c r="E194" s="109" t="n">
        <v>0</v>
      </c>
      <c r="F194" s="109" t="n">
        <v>0</v>
      </c>
      <c r="G194" s="109" t="n">
        <v>0</v>
      </c>
      <c r="H194" s="109" t="n">
        <v>0</v>
      </c>
      <c r="I194" s="109" t="n">
        <v>36</v>
      </c>
      <c r="J194" s="109" t="n">
        <v>218</v>
      </c>
      <c r="K194" s="109" t="n">
        <v>204</v>
      </c>
      <c r="L194" s="109" t="n">
        <v>254</v>
      </c>
      <c r="M194" s="109" t="n">
        <v>84.6666666666667</v>
      </c>
    </row>
    <row r="195" ht="13.8" customHeight="1" s="113">
      <c r="A195" s="109" t="inlineStr">
        <is>
          <t>AC04860</t>
        </is>
      </c>
      <c r="B195" s="109" t="inlineStr">
        <is>
          <t>Alinity c</t>
        </is>
      </c>
      <c r="C195" s="109" t="inlineStr">
        <is>
          <t>MagnesiumU</t>
        </is>
      </c>
      <c r="D195" s="109" t="n">
        <v>1099</v>
      </c>
      <c r="E195" s="109" t="n">
        <v>12</v>
      </c>
      <c r="F195" s="109" t="n">
        <v>12</v>
      </c>
      <c r="G195" s="109" t="n">
        <v>0</v>
      </c>
      <c r="H195" s="109" t="n">
        <v>0</v>
      </c>
      <c r="I195" s="109" t="n">
        <v>45</v>
      </c>
      <c r="J195" s="109" t="n">
        <v>173</v>
      </c>
      <c r="K195" s="109" t="n">
        <v>167</v>
      </c>
      <c r="L195" s="109" t="n">
        <v>230</v>
      </c>
      <c r="M195" s="109" t="n">
        <v>76.6666666666667</v>
      </c>
    </row>
    <row r="196" ht="13.8" customHeight="1" s="113">
      <c r="A196" s="109" t="inlineStr">
        <is>
          <t>AC04860</t>
        </is>
      </c>
      <c r="B196" s="109" t="inlineStr">
        <is>
          <t>Alinity c</t>
        </is>
      </c>
      <c r="C196" s="109" t="inlineStr">
        <is>
          <t>MagnesiumU</t>
        </is>
      </c>
      <c r="D196" s="109" t="n">
        <v>1099</v>
      </c>
      <c r="E196" s="109" t="n">
        <v>0</v>
      </c>
      <c r="F196" s="109" t="n">
        <v>0</v>
      </c>
      <c r="G196" s="109" t="n">
        <v>0</v>
      </c>
      <c r="H196" s="109" t="n">
        <v>0</v>
      </c>
      <c r="I196" s="109" t="n">
        <v>36</v>
      </c>
      <c r="J196" s="109" t="n">
        <v>200</v>
      </c>
      <c r="K196" s="109" t="n">
        <v>194</v>
      </c>
      <c r="L196" s="109" t="n">
        <v>236</v>
      </c>
      <c r="M196" s="109" t="n">
        <v>78.6666666666667</v>
      </c>
    </row>
    <row r="197" ht="13.8" customHeight="1" s="113">
      <c r="A197" s="109" t="inlineStr">
        <is>
          <t>AC04860</t>
        </is>
      </c>
      <c r="B197" s="109" t="inlineStr">
        <is>
          <t>Alinity c</t>
        </is>
      </c>
      <c r="C197" s="109" t="inlineStr">
        <is>
          <t>MethSQ</t>
        </is>
      </c>
      <c r="D197" s="109" t="n">
        <v>1845</v>
      </c>
      <c r="E197" s="109" t="n">
        <v>863</v>
      </c>
      <c r="F197" s="109" t="n">
        <v>847</v>
      </c>
      <c r="G197" s="109" t="n">
        <v>29</v>
      </c>
      <c r="H197" s="109" t="n">
        <v>0</v>
      </c>
      <c r="I197" s="109" t="n">
        <v>100</v>
      </c>
      <c r="J197" s="109" t="n">
        <v>231</v>
      </c>
      <c r="K197" s="109" t="n">
        <v>220</v>
      </c>
      <c r="L197" s="109" t="n">
        <v>1194</v>
      </c>
      <c r="M197" s="109" t="n">
        <v>398</v>
      </c>
    </row>
    <row r="198" ht="13.8" customHeight="1" s="113">
      <c r="A198" s="109" t="inlineStr">
        <is>
          <t>AC04860</t>
        </is>
      </c>
      <c r="B198" s="109" t="inlineStr">
        <is>
          <t>Alinity c</t>
        </is>
      </c>
      <c r="C198" s="109" t="inlineStr">
        <is>
          <t>MethSQ</t>
        </is>
      </c>
      <c r="D198" s="109" t="n">
        <v>1845</v>
      </c>
      <c r="E198" s="109" t="n">
        <v>12</v>
      </c>
      <c r="F198" s="109" t="n">
        <v>12</v>
      </c>
      <c r="G198" s="109" t="n">
        <v>0</v>
      </c>
      <c r="H198" s="109" t="n">
        <v>0</v>
      </c>
      <c r="I198" s="109" t="n">
        <v>10</v>
      </c>
      <c r="J198" s="109" t="n">
        <v>3</v>
      </c>
      <c r="K198" s="109" t="n">
        <v>3</v>
      </c>
      <c r="L198" s="109" t="n">
        <v>25</v>
      </c>
      <c r="M198" s="109" t="n">
        <v>8.33333333333333</v>
      </c>
    </row>
    <row r="199" ht="13.8" customHeight="1" s="113">
      <c r="A199" s="109" t="inlineStr">
        <is>
          <t>AC04860</t>
        </is>
      </c>
      <c r="B199" s="109" t="inlineStr">
        <is>
          <t>Alinity c</t>
        </is>
      </c>
      <c r="C199" s="109" t="inlineStr">
        <is>
          <t>Microalb</t>
        </is>
      </c>
      <c r="D199" s="109" t="n">
        <v>1839</v>
      </c>
      <c r="E199" s="109" t="n">
        <v>369</v>
      </c>
      <c r="F199" s="109" t="n">
        <v>338</v>
      </c>
      <c r="G199" s="109" t="n">
        <v>18</v>
      </c>
      <c r="H199" s="109" t="n">
        <v>17</v>
      </c>
      <c r="I199" s="109" t="n">
        <v>90</v>
      </c>
      <c r="J199" s="109" t="n">
        <v>194</v>
      </c>
      <c r="K199" s="109" t="n">
        <v>178</v>
      </c>
      <c r="L199" s="109" t="n">
        <v>653</v>
      </c>
      <c r="M199" s="109" t="n">
        <v>217.666666666667</v>
      </c>
    </row>
    <row r="200" ht="13.8" customHeight="1" s="113">
      <c r="A200" s="109" t="inlineStr">
        <is>
          <t>AC04860</t>
        </is>
      </c>
      <c r="B200" s="109" t="inlineStr">
        <is>
          <t>Alinity c</t>
        </is>
      </c>
      <c r="C200" s="109" t="inlineStr">
        <is>
          <t>Microalb</t>
        </is>
      </c>
      <c r="D200" s="109" t="n">
        <v>1839</v>
      </c>
      <c r="E200" s="109" t="n">
        <v>3699</v>
      </c>
      <c r="F200" s="109" t="n">
        <v>3602</v>
      </c>
      <c r="G200" s="109" t="n">
        <v>220</v>
      </c>
      <c r="H200" s="109" t="n">
        <v>109</v>
      </c>
      <c r="I200" s="109" t="n">
        <v>90</v>
      </c>
      <c r="J200" s="109" t="n">
        <v>179</v>
      </c>
      <c r="K200" s="109" t="n">
        <v>170</v>
      </c>
      <c r="L200" s="109" t="n">
        <v>3968</v>
      </c>
      <c r="M200" s="109" t="n">
        <v>1322.66666666667</v>
      </c>
    </row>
    <row r="201" ht="13.8" customHeight="1" s="113">
      <c r="A201" s="109" t="inlineStr">
        <is>
          <t>AC04860</t>
        </is>
      </c>
      <c r="B201" s="109" t="inlineStr">
        <is>
          <t>Alinity c</t>
        </is>
      </c>
      <c r="C201" s="109" t="inlineStr">
        <is>
          <t>Microalb</t>
        </is>
      </c>
      <c r="D201" s="109" t="n">
        <v>1839</v>
      </c>
      <c r="E201" s="109" t="n">
        <v>0</v>
      </c>
      <c r="F201" s="109" t="n">
        <v>0</v>
      </c>
      <c r="G201" s="109" t="n">
        <v>0</v>
      </c>
      <c r="H201" s="109" t="n">
        <v>0</v>
      </c>
      <c r="I201" s="109" t="n">
        <v>0</v>
      </c>
      <c r="J201" s="109" t="n">
        <v>4</v>
      </c>
      <c r="K201" s="109" t="n">
        <v>0</v>
      </c>
      <c r="L201" s="109" t="n">
        <v>4</v>
      </c>
      <c r="M201" s="109" t="n">
        <v>1.33333333333333</v>
      </c>
    </row>
    <row r="202" ht="13.8" customHeight="1" s="113">
      <c r="A202" s="109" t="inlineStr">
        <is>
          <t>AI22529</t>
        </is>
      </c>
      <c r="B202" s="109" t="inlineStr">
        <is>
          <t>Alinity i</t>
        </is>
      </c>
      <c r="C202" s="109" t="inlineStr">
        <is>
          <t>MTX UNDIL</t>
        </is>
      </c>
      <c r="D202" s="109" t="n">
        <v>631</v>
      </c>
      <c r="E202" s="109" t="n">
        <v>1</v>
      </c>
      <c r="F202" s="109" t="n">
        <v>1</v>
      </c>
      <c r="G202" s="109" t="n">
        <v>0</v>
      </c>
      <c r="H202" s="109" t="n">
        <v>0</v>
      </c>
      <c r="I202" s="109" t="n">
        <v>12</v>
      </c>
      <c r="J202" s="109" t="n">
        <v>44</v>
      </c>
      <c r="K202" s="109" t="n">
        <v>44</v>
      </c>
      <c r="L202" s="109" t="n">
        <v>57</v>
      </c>
      <c r="M202" s="109" t="n">
        <v>19</v>
      </c>
    </row>
    <row r="203" ht="13.8" customHeight="1" s="113">
      <c r="A203" s="109" t="inlineStr">
        <is>
          <t>AI22529</t>
        </is>
      </c>
      <c r="B203" s="109" t="inlineStr">
        <is>
          <t>Alinity i</t>
        </is>
      </c>
      <c r="C203" s="109" t="inlineStr">
        <is>
          <t>Myo STAT</t>
        </is>
      </c>
      <c r="D203" s="109" t="n">
        <v>272</v>
      </c>
      <c r="E203" s="109" t="n">
        <v>321</v>
      </c>
      <c r="F203" s="109" t="n">
        <v>285</v>
      </c>
      <c r="G203" s="109" t="n">
        <v>54</v>
      </c>
      <c r="H203" s="109" t="n">
        <v>39</v>
      </c>
      <c r="I203" s="109" t="n">
        <v>36</v>
      </c>
      <c r="J203" s="109" t="n">
        <v>305</v>
      </c>
      <c r="K203" s="109" t="n">
        <v>213</v>
      </c>
      <c r="L203" s="109" t="n">
        <v>662</v>
      </c>
      <c r="M203" s="109" t="n">
        <v>220.666666666667</v>
      </c>
    </row>
    <row r="204" ht="13.8" customHeight="1" s="113">
      <c r="A204" s="109" t="inlineStr">
        <is>
          <t>AI22529</t>
        </is>
      </c>
      <c r="B204" s="109" t="inlineStr">
        <is>
          <t>Alinity i</t>
        </is>
      </c>
      <c r="C204" s="109" t="inlineStr">
        <is>
          <t>Myo STAT</t>
        </is>
      </c>
      <c r="D204" s="109" t="n">
        <v>272</v>
      </c>
      <c r="E204" s="109" t="n">
        <v>1141</v>
      </c>
      <c r="F204" s="109" t="n">
        <v>1084</v>
      </c>
      <c r="G204" s="109" t="n">
        <v>129</v>
      </c>
      <c r="H204" s="109" t="n">
        <v>101</v>
      </c>
      <c r="I204" s="109" t="n">
        <v>72</v>
      </c>
      <c r="J204" s="109" t="n">
        <v>322</v>
      </c>
      <c r="K204" s="109" t="n">
        <v>275</v>
      </c>
      <c r="L204" s="109" t="n">
        <v>1535</v>
      </c>
      <c r="M204" s="109" t="n">
        <v>511.666666666667</v>
      </c>
    </row>
    <row r="205" ht="13.8" customHeight="1" s="113">
      <c r="A205" s="109" t="inlineStr">
        <is>
          <t>AC04860</t>
        </is>
      </c>
      <c r="B205" s="109" t="inlineStr">
        <is>
          <t>Alinity c</t>
        </is>
      </c>
      <c r="C205" s="109" t="inlineStr">
        <is>
          <t>Na-C</t>
        </is>
      </c>
      <c r="D205" s="109" t="n">
        <v>1101</v>
      </c>
      <c r="E205" s="109" t="n">
        <v>10378</v>
      </c>
      <c r="F205" s="109" t="n">
        <v>9067</v>
      </c>
      <c r="G205" s="109" t="n">
        <v>1134</v>
      </c>
      <c r="H205" s="109" t="n">
        <v>0</v>
      </c>
      <c r="I205" s="109" t="n">
        <v>750</v>
      </c>
      <c r="J205" s="109" t="n">
        <v>314</v>
      </c>
      <c r="K205" s="109" t="n">
        <v>284</v>
      </c>
      <c r="L205" s="109" t="n">
        <v>11442</v>
      </c>
      <c r="M205" s="109" t="n">
        <v>3814</v>
      </c>
    </row>
    <row r="206" ht="13.8" customHeight="1" s="113">
      <c r="A206" s="109" t="inlineStr">
        <is>
          <t>AC04860</t>
        </is>
      </c>
      <c r="B206" s="109" t="inlineStr">
        <is>
          <t>Alinity c</t>
        </is>
      </c>
      <c r="C206" s="109" t="inlineStr">
        <is>
          <t>Na-C</t>
        </is>
      </c>
      <c r="D206" s="109" t="n">
        <v>1101</v>
      </c>
      <c r="E206" s="109" t="n">
        <v>12045</v>
      </c>
      <c r="F206" s="109" t="n">
        <v>11700</v>
      </c>
      <c r="G206" s="109" t="n">
        <v>280</v>
      </c>
      <c r="H206" s="109" t="n">
        <v>0</v>
      </c>
      <c r="I206" s="109" t="n">
        <v>606</v>
      </c>
      <c r="J206" s="109" t="n">
        <v>290</v>
      </c>
      <c r="K206" s="109" t="n">
        <v>273</v>
      </c>
      <c r="L206" s="109" t="n">
        <v>12941</v>
      </c>
      <c r="M206" s="109" t="n">
        <v>4313.66666666667</v>
      </c>
    </row>
    <row r="207" ht="13.8" customHeight="1" s="113">
      <c r="A207" s="109" t="inlineStr">
        <is>
          <t>AC04860</t>
        </is>
      </c>
      <c r="B207" s="109" t="inlineStr">
        <is>
          <t>Alinity c</t>
        </is>
      </c>
      <c r="C207" s="109" t="inlineStr">
        <is>
          <t>Na-C</t>
        </is>
      </c>
      <c r="D207" s="109" t="n">
        <v>1101</v>
      </c>
      <c r="E207" s="109" t="n">
        <v>10791</v>
      </c>
      <c r="F207" s="109" t="n">
        <v>9757</v>
      </c>
      <c r="G207" s="109" t="n">
        <v>810</v>
      </c>
      <c r="H207" s="109" t="n">
        <v>0</v>
      </c>
      <c r="I207" s="109" t="n">
        <v>696</v>
      </c>
      <c r="J207" s="109" t="n">
        <v>277</v>
      </c>
      <c r="K207" s="109" t="n">
        <v>267</v>
      </c>
      <c r="L207" s="109" t="n">
        <v>11764</v>
      </c>
      <c r="M207" s="109" t="n">
        <v>3921.33333333333</v>
      </c>
    </row>
    <row r="208" ht="13.8" customHeight="1" s="113">
      <c r="A208" s="109" t="inlineStr">
        <is>
          <t>AC04860</t>
        </is>
      </c>
      <c r="B208" s="109" t="inlineStr">
        <is>
          <t>Alinity c</t>
        </is>
      </c>
      <c r="C208" s="109" t="inlineStr">
        <is>
          <t>Na-CU</t>
        </is>
      </c>
      <c r="D208" s="109" t="n">
        <v>1133</v>
      </c>
      <c r="E208" s="109" t="n">
        <v>10</v>
      </c>
      <c r="F208" s="109" t="n">
        <v>10</v>
      </c>
      <c r="G208" s="109" t="n">
        <v>0</v>
      </c>
      <c r="H208" s="109" t="n">
        <v>0</v>
      </c>
      <c r="I208" s="109" t="n">
        <v>714</v>
      </c>
      <c r="J208" s="109" t="n">
        <v>253</v>
      </c>
      <c r="K208" s="109" t="n">
        <v>228</v>
      </c>
      <c r="L208" s="109" t="n">
        <v>977</v>
      </c>
      <c r="M208" s="109" t="n">
        <v>325.666666666667</v>
      </c>
    </row>
    <row r="209" ht="13.8" customHeight="1" s="113">
      <c r="A209" s="109" t="inlineStr">
        <is>
          <t>AC04860</t>
        </is>
      </c>
      <c r="B209" s="109" t="inlineStr">
        <is>
          <t>Alinity c</t>
        </is>
      </c>
      <c r="C209" s="109" t="inlineStr">
        <is>
          <t>Na-CU</t>
        </is>
      </c>
      <c r="D209" s="109" t="n">
        <v>1133</v>
      </c>
      <c r="E209" s="109" t="n">
        <v>106</v>
      </c>
      <c r="F209" s="109" t="n">
        <v>106</v>
      </c>
      <c r="G209" s="109" t="n">
        <v>1</v>
      </c>
      <c r="H209" s="109" t="n">
        <v>0</v>
      </c>
      <c r="I209" s="109" t="n">
        <v>576</v>
      </c>
      <c r="J209" s="109" t="n">
        <v>242</v>
      </c>
      <c r="K209" s="109" t="n">
        <v>227</v>
      </c>
      <c r="L209" s="109" t="n">
        <v>924</v>
      </c>
      <c r="M209" s="109" t="n">
        <v>308</v>
      </c>
    </row>
    <row r="210" ht="13.8" customHeight="1" s="113">
      <c r="A210" s="109" t="inlineStr">
        <is>
          <t>AC04860</t>
        </is>
      </c>
      <c r="B210" s="109" t="inlineStr">
        <is>
          <t>Alinity c</t>
        </is>
      </c>
      <c r="C210" s="109" t="inlineStr">
        <is>
          <t>Na-CU</t>
        </is>
      </c>
      <c r="D210" s="109" t="n">
        <v>1133</v>
      </c>
      <c r="E210" s="109" t="n">
        <v>5</v>
      </c>
      <c r="F210" s="109" t="n">
        <v>4</v>
      </c>
      <c r="G210" s="109" t="n">
        <v>0</v>
      </c>
      <c r="H210" s="109" t="n">
        <v>0</v>
      </c>
      <c r="I210" s="109" t="n">
        <v>702</v>
      </c>
      <c r="J210" s="109" t="n">
        <v>237</v>
      </c>
      <c r="K210" s="109" t="n">
        <v>229</v>
      </c>
      <c r="L210" s="109" t="n">
        <v>944</v>
      </c>
      <c r="M210" s="109" t="n">
        <v>314.666666666667</v>
      </c>
    </row>
    <row r="211" ht="13.8" customHeight="1" s="113">
      <c r="A211" s="109" t="inlineStr">
        <is>
          <t>AC04860</t>
        </is>
      </c>
      <c r="B211" s="109" t="inlineStr">
        <is>
          <t>Alinity c</t>
        </is>
      </c>
      <c r="C211" s="109" t="inlineStr">
        <is>
          <t>Opi1SQ</t>
        </is>
      </c>
      <c r="D211" s="109" t="n">
        <v>1841</v>
      </c>
      <c r="E211" s="109" t="n">
        <v>2019</v>
      </c>
      <c r="F211" s="109" t="n">
        <v>2000</v>
      </c>
      <c r="G211" s="109" t="n">
        <v>39</v>
      </c>
      <c r="H211" s="109" t="n">
        <v>0</v>
      </c>
      <c r="I211" s="109" t="n">
        <v>110</v>
      </c>
      <c r="J211" s="109" t="n">
        <v>201</v>
      </c>
      <c r="K211" s="109" t="n">
        <v>195</v>
      </c>
      <c r="L211" s="109" t="n">
        <v>2330</v>
      </c>
      <c r="M211" s="109" t="n">
        <v>776.666666666667</v>
      </c>
    </row>
    <row r="212" ht="13.8" customHeight="1" s="113">
      <c r="A212" s="109" t="inlineStr">
        <is>
          <t>AC04860</t>
        </is>
      </c>
      <c r="B212" s="109" t="inlineStr">
        <is>
          <t>Alinity c</t>
        </is>
      </c>
      <c r="C212" s="109" t="inlineStr">
        <is>
          <t>Opi1SQ</t>
        </is>
      </c>
      <c r="D212" s="109" t="n">
        <v>1841</v>
      </c>
      <c r="E212" s="109" t="n">
        <v>12</v>
      </c>
      <c r="F212" s="109" t="n">
        <v>12</v>
      </c>
      <c r="G212" s="109" t="n">
        <v>0</v>
      </c>
      <c r="H212" s="109" t="n">
        <v>0</v>
      </c>
      <c r="I212" s="109" t="n">
        <v>10</v>
      </c>
      <c r="J212" s="109" t="n">
        <v>2</v>
      </c>
      <c r="K212" s="109" t="n">
        <v>2</v>
      </c>
      <c r="L212" s="109" t="n">
        <v>24</v>
      </c>
      <c r="M212" s="109" t="n">
        <v>8</v>
      </c>
    </row>
    <row r="213" ht="13.8" customHeight="1" s="113">
      <c r="A213" s="109" t="inlineStr">
        <is>
          <t>AC04860</t>
        </is>
      </c>
      <c r="B213" s="109" t="inlineStr">
        <is>
          <t>Alinity c</t>
        </is>
      </c>
      <c r="C213" s="109" t="inlineStr">
        <is>
          <t>P Amylase</t>
        </is>
      </c>
      <c r="D213" s="109" t="n">
        <v>1953</v>
      </c>
      <c r="E213" s="109" t="n">
        <v>1036</v>
      </c>
      <c r="F213" s="109" t="n">
        <v>949</v>
      </c>
      <c r="G213" s="109" t="n">
        <v>41</v>
      </c>
      <c r="H213" s="109" t="n">
        <v>0</v>
      </c>
      <c r="I213" s="109" t="n">
        <v>36</v>
      </c>
      <c r="J213" s="109" t="n">
        <v>282</v>
      </c>
      <c r="K213" s="109" t="n">
        <v>261</v>
      </c>
      <c r="L213" s="109" t="n">
        <v>1354</v>
      </c>
      <c r="M213" s="109" t="n">
        <v>451.333333333333</v>
      </c>
    </row>
    <row r="214" ht="13.8" customHeight="1" s="113">
      <c r="A214" s="109" t="inlineStr">
        <is>
          <t>AC04860</t>
        </is>
      </c>
      <c r="B214" s="109" t="inlineStr">
        <is>
          <t>Alinity c</t>
        </is>
      </c>
      <c r="C214" s="109" t="inlineStr">
        <is>
          <t>P Amylase</t>
        </is>
      </c>
      <c r="D214" s="109" t="n">
        <v>1953</v>
      </c>
      <c r="E214" s="109" t="n">
        <v>5677</v>
      </c>
      <c r="F214" s="109" t="n">
        <v>5378</v>
      </c>
      <c r="G214" s="109" t="n">
        <v>260</v>
      </c>
      <c r="H214" s="109" t="n">
        <v>0</v>
      </c>
      <c r="I214" s="109" t="n">
        <v>24</v>
      </c>
      <c r="J214" s="109" t="n">
        <v>312</v>
      </c>
      <c r="K214" s="109" t="n">
        <v>294</v>
      </c>
      <c r="L214" s="109" t="n">
        <v>6013</v>
      </c>
      <c r="M214" s="109" t="n">
        <v>2004.33333333333</v>
      </c>
    </row>
    <row r="215" ht="13.8" customHeight="1" s="113">
      <c r="A215" s="109" t="inlineStr">
        <is>
          <t>AC04860</t>
        </is>
      </c>
      <c r="B215" s="109" t="inlineStr">
        <is>
          <t>Alinity c</t>
        </is>
      </c>
      <c r="C215" s="109" t="inlineStr">
        <is>
          <t>P Amylase</t>
        </is>
      </c>
      <c r="D215" s="109" t="n">
        <v>1953</v>
      </c>
      <c r="E215" s="109" t="n">
        <v>1700</v>
      </c>
      <c r="F215" s="109" t="n">
        <v>1544</v>
      </c>
      <c r="G215" s="109" t="n">
        <v>123</v>
      </c>
      <c r="H215" s="109" t="n">
        <v>0</v>
      </c>
      <c r="I215" s="109" t="n">
        <v>30</v>
      </c>
      <c r="J215" s="109" t="n">
        <v>307</v>
      </c>
      <c r="K215" s="109" t="n">
        <v>297</v>
      </c>
      <c r="L215" s="109" t="n">
        <v>2037</v>
      </c>
      <c r="M215" s="109" t="n">
        <v>679</v>
      </c>
    </row>
    <row r="216" ht="13.8" customHeight="1" s="113">
      <c r="A216" s="109" t="inlineStr">
        <is>
          <t>AI22529</t>
        </is>
      </c>
      <c r="B216" s="109" t="inlineStr">
        <is>
          <t>Alinity i</t>
        </is>
      </c>
      <c r="C216" s="109" t="inlineStr">
        <is>
          <t>PCT</t>
        </is>
      </c>
      <c r="D216" s="109" t="n">
        <v>117</v>
      </c>
      <c r="E216" s="109" t="n">
        <v>307</v>
      </c>
      <c r="F216" s="109" t="n">
        <v>288</v>
      </c>
      <c r="G216" s="109" t="n">
        <v>8</v>
      </c>
      <c r="H216" s="109" t="n">
        <v>1</v>
      </c>
      <c r="I216" s="109" t="n">
        <v>48</v>
      </c>
      <c r="J216" s="109" t="n">
        <v>85</v>
      </c>
      <c r="K216" s="109" t="n">
        <v>64</v>
      </c>
      <c r="L216" s="109" t="n">
        <v>440</v>
      </c>
      <c r="M216" s="109" t="n">
        <v>146.666666666667</v>
      </c>
    </row>
    <row r="217" ht="13.8" customHeight="1" s="113">
      <c r="A217" s="109" t="inlineStr">
        <is>
          <t>AI22529</t>
        </is>
      </c>
      <c r="B217" s="109" t="inlineStr">
        <is>
          <t>Alinity i</t>
        </is>
      </c>
      <c r="C217" s="109" t="inlineStr">
        <is>
          <t>PCT</t>
        </is>
      </c>
      <c r="D217" s="109" t="n">
        <v>117</v>
      </c>
      <c r="E217" s="109" t="n">
        <v>2177</v>
      </c>
      <c r="F217" s="109" t="n">
        <v>2044</v>
      </c>
      <c r="G217" s="109" t="n">
        <v>100</v>
      </c>
      <c r="H217" s="109" t="n">
        <v>17</v>
      </c>
      <c r="I217" s="109" t="n">
        <v>72</v>
      </c>
      <c r="J217" s="109" t="n">
        <v>317</v>
      </c>
      <c r="K217" s="109" t="n">
        <v>265</v>
      </c>
      <c r="L217" s="109" t="n">
        <v>2566</v>
      </c>
      <c r="M217" s="109" t="n">
        <v>855.333333333333</v>
      </c>
    </row>
    <row r="218" ht="13.8" customHeight="1" s="113">
      <c r="A218" s="109" t="inlineStr">
        <is>
          <t>AC04860</t>
        </is>
      </c>
      <c r="B218" s="109" t="inlineStr">
        <is>
          <t>Alinity c</t>
        </is>
      </c>
      <c r="C218" s="109" t="inlineStr">
        <is>
          <t>Phenobarb</t>
        </is>
      </c>
      <c r="D218" s="109" t="n">
        <v>1884</v>
      </c>
      <c r="E218" s="109" t="n">
        <v>8</v>
      </c>
      <c r="F218" s="109" t="n">
        <v>8</v>
      </c>
      <c r="G218" s="109" t="n">
        <v>0</v>
      </c>
      <c r="H218" s="109" t="n">
        <v>0</v>
      </c>
      <c r="I218" s="109" t="n">
        <v>108</v>
      </c>
      <c r="J218" s="109" t="n">
        <v>198</v>
      </c>
      <c r="K218" s="109" t="n">
        <v>182</v>
      </c>
      <c r="L218" s="109" t="n">
        <v>314</v>
      </c>
      <c r="M218" s="109" t="n">
        <v>104.666666666667</v>
      </c>
    </row>
    <row r="219" ht="13.8" customHeight="1" s="113">
      <c r="A219" s="109" t="inlineStr">
        <is>
          <t>AC04860</t>
        </is>
      </c>
      <c r="B219" s="109" t="inlineStr">
        <is>
          <t>Alinity c</t>
        </is>
      </c>
      <c r="C219" s="109" t="inlineStr">
        <is>
          <t>Phenytoin</t>
        </is>
      </c>
      <c r="D219" s="109" t="n">
        <v>1885</v>
      </c>
      <c r="E219" s="109" t="n">
        <v>2</v>
      </c>
      <c r="F219" s="109" t="n">
        <v>2</v>
      </c>
      <c r="G219" s="109" t="n">
        <v>0</v>
      </c>
      <c r="H219" s="109" t="n">
        <v>0</v>
      </c>
      <c r="I219" s="109" t="n">
        <v>192</v>
      </c>
      <c r="J219" s="109" t="n">
        <v>201</v>
      </c>
      <c r="K219" s="109" t="n">
        <v>183</v>
      </c>
      <c r="L219" s="109" t="n">
        <v>395</v>
      </c>
      <c r="M219" s="109" t="n">
        <v>131.666666666667</v>
      </c>
    </row>
    <row r="220" ht="13.8" customHeight="1" s="113">
      <c r="A220" s="109" t="inlineStr">
        <is>
          <t>AC04860</t>
        </is>
      </c>
      <c r="B220" s="109" t="inlineStr">
        <is>
          <t>Alinity c</t>
        </is>
      </c>
      <c r="C220" s="109" t="inlineStr">
        <is>
          <t>Phenytoin</t>
        </is>
      </c>
      <c r="D220" s="109" t="n">
        <v>1885</v>
      </c>
      <c r="E220" s="109" t="n">
        <v>0</v>
      </c>
      <c r="F220" s="109" t="n">
        <v>0</v>
      </c>
      <c r="G220" s="109" t="n">
        <v>0</v>
      </c>
      <c r="H220" s="109" t="n">
        <v>0</v>
      </c>
      <c r="I220" s="109" t="n">
        <v>12</v>
      </c>
      <c r="J220" s="109" t="n">
        <v>2</v>
      </c>
      <c r="K220" s="109" t="n">
        <v>2</v>
      </c>
      <c r="L220" s="109" t="n">
        <v>14</v>
      </c>
      <c r="M220" s="109" t="n">
        <v>4.66666666666667</v>
      </c>
    </row>
    <row r="221" ht="13.8" customHeight="1" s="113">
      <c r="A221" s="109" t="inlineStr">
        <is>
          <t>AC04860</t>
        </is>
      </c>
      <c r="B221" s="109" t="inlineStr">
        <is>
          <t>Alinity c</t>
        </is>
      </c>
      <c r="C221" s="109" t="inlineStr">
        <is>
          <t>Phos2</t>
        </is>
      </c>
      <c r="D221" s="109" t="n">
        <v>1420</v>
      </c>
      <c r="E221" s="109" t="n">
        <v>1918</v>
      </c>
      <c r="F221" s="109" t="n">
        <v>1625</v>
      </c>
      <c r="G221" s="109" t="n">
        <v>238</v>
      </c>
      <c r="H221" s="109" t="n">
        <v>0</v>
      </c>
      <c r="I221" s="109" t="n">
        <v>80</v>
      </c>
      <c r="J221" s="109" t="n">
        <v>242</v>
      </c>
      <c r="K221" s="109" t="n">
        <v>225</v>
      </c>
      <c r="L221" s="109" t="n">
        <v>2240</v>
      </c>
      <c r="M221" s="109" t="n">
        <v>746.666666666667</v>
      </c>
    </row>
    <row r="222" ht="13.8" customHeight="1" s="113">
      <c r="A222" s="109" t="inlineStr">
        <is>
          <t>AC04860</t>
        </is>
      </c>
      <c r="B222" s="109" t="inlineStr">
        <is>
          <t>Alinity c</t>
        </is>
      </c>
      <c r="C222" s="109" t="inlineStr">
        <is>
          <t>Phos2</t>
        </is>
      </c>
      <c r="D222" s="109" t="n">
        <v>1420</v>
      </c>
      <c r="E222" s="109" t="n">
        <v>344</v>
      </c>
      <c r="F222" s="109" t="n">
        <v>323</v>
      </c>
      <c r="G222" s="109" t="n">
        <v>11</v>
      </c>
      <c r="H222" s="109" t="n">
        <v>0</v>
      </c>
      <c r="I222" s="109" t="n">
        <v>64</v>
      </c>
      <c r="J222" s="109" t="n">
        <v>179</v>
      </c>
      <c r="K222" s="109" t="n">
        <v>170</v>
      </c>
      <c r="L222" s="109" t="n">
        <v>587</v>
      </c>
      <c r="M222" s="109" t="n">
        <v>195.666666666667</v>
      </c>
    </row>
    <row r="223" ht="13.8" customHeight="1" s="113">
      <c r="A223" s="109" t="inlineStr">
        <is>
          <t>AC04860</t>
        </is>
      </c>
      <c r="B223" s="109" t="inlineStr">
        <is>
          <t>Alinity c</t>
        </is>
      </c>
      <c r="C223" s="109" t="inlineStr">
        <is>
          <t>Phos2</t>
        </is>
      </c>
      <c r="D223" s="109" t="n">
        <v>1420</v>
      </c>
      <c r="E223" s="109" t="n">
        <v>1928</v>
      </c>
      <c r="F223" s="109" t="n">
        <v>1690</v>
      </c>
      <c r="G223" s="109" t="n">
        <v>153</v>
      </c>
      <c r="H223" s="109" t="n">
        <v>0</v>
      </c>
      <c r="I223" s="109" t="n">
        <v>112</v>
      </c>
      <c r="J223" s="109" t="n">
        <v>240</v>
      </c>
      <c r="K223" s="109" t="n">
        <v>229</v>
      </c>
      <c r="L223" s="109" t="n">
        <v>2280</v>
      </c>
      <c r="M223" s="109" t="n">
        <v>760</v>
      </c>
    </row>
    <row r="224" ht="13.8" customHeight="1" s="113">
      <c r="A224" s="109" t="inlineStr">
        <is>
          <t>AC04860</t>
        </is>
      </c>
      <c r="B224" s="109" t="inlineStr">
        <is>
          <t>Alinity c</t>
        </is>
      </c>
      <c r="C224" s="109" t="inlineStr">
        <is>
          <t>Phos2-U</t>
        </is>
      </c>
      <c r="D224" s="109" t="n">
        <v>1422</v>
      </c>
      <c r="E224" s="109" t="n">
        <v>15</v>
      </c>
      <c r="F224" s="109" t="n">
        <v>15</v>
      </c>
      <c r="G224" s="109" t="n">
        <v>0</v>
      </c>
      <c r="H224" s="109" t="n">
        <v>0</v>
      </c>
      <c r="I224" s="109" t="n">
        <v>0</v>
      </c>
      <c r="J224" s="109" t="n">
        <v>204</v>
      </c>
      <c r="K224" s="109" t="n">
        <v>191</v>
      </c>
      <c r="L224" s="109" t="n">
        <v>219</v>
      </c>
      <c r="M224" s="109" t="n">
        <v>73</v>
      </c>
    </row>
    <row r="225" ht="13.8" customHeight="1" s="113">
      <c r="A225" s="109" t="inlineStr">
        <is>
          <t>AC04860</t>
        </is>
      </c>
      <c r="B225" s="109" t="inlineStr">
        <is>
          <t>Alinity c</t>
        </is>
      </c>
      <c r="C225" s="109" t="inlineStr">
        <is>
          <t>Phos2-U</t>
        </is>
      </c>
      <c r="D225" s="109" t="n">
        <v>1422</v>
      </c>
      <c r="E225" s="109" t="n">
        <v>108</v>
      </c>
      <c r="F225" s="109" t="n">
        <v>108</v>
      </c>
      <c r="G225" s="109" t="n">
        <v>1</v>
      </c>
      <c r="H225" s="109" t="n">
        <v>0</v>
      </c>
      <c r="I225" s="109" t="n">
        <v>0</v>
      </c>
      <c r="J225" s="109" t="n">
        <v>156</v>
      </c>
      <c r="K225" s="109" t="n">
        <v>149</v>
      </c>
      <c r="L225" s="109" t="n">
        <v>264</v>
      </c>
      <c r="M225" s="109" t="n">
        <v>88</v>
      </c>
    </row>
    <row r="226" ht="13.8" customHeight="1" s="113">
      <c r="A226" s="109" t="inlineStr">
        <is>
          <t>AC04860</t>
        </is>
      </c>
      <c r="B226" s="109" t="inlineStr">
        <is>
          <t>Alinity c</t>
        </is>
      </c>
      <c r="C226" s="109" t="inlineStr">
        <is>
          <t>Phos2-U</t>
        </is>
      </c>
      <c r="D226" s="109" t="n">
        <v>1422</v>
      </c>
      <c r="E226" s="109" t="n">
        <v>11</v>
      </c>
      <c r="F226" s="109" t="n">
        <v>4</v>
      </c>
      <c r="G226" s="109" t="n">
        <v>3</v>
      </c>
      <c r="H226" s="109" t="n">
        <v>0</v>
      </c>
      <c r="I226" s="109" t="n">
        <v>0</v>
      </c>
      <c r="J226" s="109" t="n">
        <v>202</v>
      </c>
      <c r="K226" s="109" t="n">
        <v>194</v>
      </c>
      <c r="L226" s="109" t="n">
        <v>213</v>
      </c>
      <c r="M226" s="109" t="n">
        <v>71</v>
      </c>
    </row>
    <row r="227" ht="13.8" customHeight="1" s="113">
      <c r="A227" s="109" t="inlineStr">
        <is>
          <t>AI22529</t>
        </is>
      </c>
      <c r="B227" s="109" t="inlineStr">
        <is>
          <t>Alinity i</t>
        </is>
      </c>
      <c r="C227" s="109" t="inlineStr">
        <is>
          <t>Progest</t>
        </is>
      </c>
      <c r="D227" s="109" t="n">
        <v>199</v>
      </c>
      <c r="E227" s="109" t="n">
        <v>265</v>
      </c>
      <c r="F227" s="109" t="n">
        <v>239</v>
      </c>
      <c r="G227" s="109" t="n">
        <v>19</v>
      </c>
      <c r="H227" s="109" t="n">
        <v>2</v>
      </c>
      <c r="I227" s="109" t="n">
        <v>4</v>
      </c>
      <c r="J227" s="109" t="n">
        <v>280</v>
      </c>
      <c r="K227" s="109" t="n">
        <v>181</v>
      </c>
      <c r="L227" s="109" t="n">
        <v>549</v>
      </c>
      <c r="M227" s="109" t="n">
        <v>183</v>
      </c>
    </row>
    <row r="228" ht="13.8" customHeight="1" s="113">
      <c r="A228" s="109" t="inlineStr">
        <is>
          <t>AI22529</t>
        </is>
      </c>
      <c r="B228" s="109" t="inlineStr">
        <is>
          <t>Alinity i</t>
        </is>
      </c>
      <c r="C228" s="109" t="inlineStr">
        <is>
          <t>Prolactin</t>
        </is>
      </c>
      <c r="D228" s="109" t="n">
        <v>207</v>
      </c>
      <c r="E228" s="109" t="n">
        <v>711</v>
      </c>
      <c r="F228" s="109" t="n">
        <v>621</v>
      </c>
      <c r="G228" s="109" t="n">
        <v>58</v>
      </c>
      <c r="H228" s="109" t="n">
        <v>3</v>
      </c>
      <c r="I228" s="109" t="n">
        <v>4</v>
      </c>
      <c r="J228" s="109" t="n">
        <v>328</v>
      </c>
      <c r="K228" s="109" t="n">
        <v>207</v>
      </c>
      <c r="L228" s="109" t="n">
        <v>1043</v>
      </c>
      <c r="M228" s="109" t="n">
        <v>347.666666666667</v>
      </c>
    </row>
    <row r="229" ht="13.8" customHeight="1" s="113">
      <c r="A229" s="109" t="inlineStr">
        <is>
          <t>AI22529</t>
        </is>
      </c>
      <c r="B229" s="109" t="inlineStr">
        <is>
          <t>Alinity i</t>
        </is>
      </c>
      <c r="C229" s="109" t="inlineStr">
        <is>
          <t>Prolactin</t>
        </is>
      </c>
      <c r="D229" s="109" t="n">
        <v>207</v>
      </c>
      <c r="E229" s="109" t="n">
        <v>102</v>
      </c>
      <c r="F229" s="109" t="n">
        <v>87</v>
      </c>
      <c r="G229" s="109" t="n">
        <v>12</v>
      </c>
      <c r="H229" s="109" t="n">
        <v>1</v>
      </c>
      <c r="I229" s="109" t="n">
        <v>12</v>
      </c>
      <c r="J229" s="109" t="n">
        <v>114</v>
      </c>
      <c r="K229" s="109" t="n">
        <v>79</v>
      </c>
      <c r="L229" s="109" t="n">
        <v>228</v>
      </c>
      <c r="M229" s="109" t="n">
        <v>76</v>
      </c>
    </row>
    <row r="230" ht="13.8" customHeight="1" s="113">
      <c r="A230" s="109" t="inlineStr">
        <is>
          <t>AC04860</t>
        </is>
      </c>
      <c r="B230" s="109" t="inlineStr">
        <is>
          <t>Alinity c</t>
        </is>
      </c>
      <c r="C230" s="109" t="inlineStr">
        <is>
          <t>RF</t>
        </is>
      </c>
      <c r="D230" s="109" t="n">
        <v>1911</v>
      </c>
      <c r="E230" s="109" t="n">
        <v>1058</v>
      </c>
      <c r="F230" s="109" t="n">
        <v>977</v>
      </c>
      <c r="G230" s="109" t="n">
        <v>73</v>
      </c>
      <c r="H230" s="109" t="n">
        <v>21</v>
      </c>
      <c r="I230" s="109" t="n">
        <v>70</v>
      </c>
      <c r="J230" s="109" t="n">
        <v>274</v>
      </c>
      <c r="K230" s="109" t="n">
        <v>262</v>
      </c>
      <c r="L230" s="109" t="n">
        <v>1402</v>
      </c>
      <c r="M230" s="109" t="n">
        <v>467.333333333333</v>
      </c>
    </row>
    <row r="231" ht="13.8" customHeight="1" s="113">
      <c r="A231" s="109" t="inlineStr">
        <is>
          <t>AI22529</t>
        </is>
      </c>
      <c r="B231" s="109" t="inlineStr">
        <is>
          <t>Alinity i</t>
        </is>
      </c>
      <c r="C231" s="109" t="inlineStr">
        <is>
          <t>SHBG</t>
        </is>
      </c>
      <c r="D231" s="109" t="n">
        <v>837</v>
      </c>
      <c r="E231" s="109" t="n">
        <v>82</v>
      </c>
      <c r="F231" s="109" t="n">
        <v>66</v>
      </c>
      <c r="G231" s="109" t="n">
        <v>12</v>
      </c>
      <c r="H231" s="109" t="n">
        <v>2</v>
      </c>
      <c r="I231" s="109" t="n">
        <v>96</v>
      </c>
      <c r="J231" s="109" t="n">
        <v>277</v>
      </c>
      <c r="K231" s="109" t="n">
        <v>192</v>
      </c>
      <c r="L231" s="109" t="n">
        <v>455</v>
      </c>
      <c r="M231" s="109" t="n">
        <v>151.666666666667</v>
      </c>
    </row>
    <row r="232" ht="13.8" customHeight="1" s="113">
      <c r="A232" s="109" t="inlineStr">
        <is>
          <t>AI22529</t>
        </is>
      </c>
      <c r="B232" s="109" t="inlineStr">
        <is>
          <t>Alinity i</t>
        </is>
      </c>
      <c r="C232" s="109" t="inlineStr">
        <is>
          <t>Sirolimus</t>
        </is>
      </c>
      <c r="D232" s="109" t="n">
        <v>682</v>
      </c>
      <c r="E232" s="109" t="n">
        <v>14</v>
      </c>
      <c r="F232" s="109" t="n">
        <v>14</v>
      </c>
      <c r="G232" s="109" t="n">
        <v>0</v>
      </c>
      <c r="H232" s="109" t="n">
        <v>0</v>
      </c>
      <c r="I232" s="109" t="n">
        <v>12</v>
      </c>
      <c r="J232" s="109" t="n">
        <v>17</v>
      </c>
      <c r="K232" s="109" t="n">
        <v>17</v>
      </c>
      <c r="L232" s="109" t="n">
        <v>43</v>
      </c>
      <c r="M232" s="109" t="n">
        <v>14.3333333333333</v>
      </c>
    </row>
    <row r="233" ht="13.8" customHeight="1" s="113">
      <c r="A233" s="109" t="inlineStr">
        <is>
          <t>AI22529</t>
        </is>
      </c>
      <c r="B233" s="109" t="inlineStr">
        <is>
          <t>Alinity i</t>
        </is>
      </c>
      <c r="C233" s="109" t="inlineStr">
        <is>
          <t>Syphilis</t>
        </is>
      </c>
      <c r="D233" s="109" t="n">
        <v>565</v>
      </c>
      <c r="E233" s="109" t="n">
        <v>486</v>
      </c>
      <c r="F233" s="109" t="n">
        <v>482</v>
      </c>
      <c r="G233" s="109" t="n">
        <v>4</v>
      </c>
      <c r="H233" s="109" t="n">
        <v>0</v>
      </c>
      <c r="I233" s="109" t="n">
        <v>6</v>
      </c>
      <c r="J233" s="109" t="n">
        <v>238</v>
      </c>
      <c r="K233" s="109" t="n">
        <v>234</v>
      </c>
      <c r="L233" s="109" t="n">
        <v>730</v>
      </c>
      <c r="M233" s="109" t="n">
        <v>243.333333333333</v>
      </c>
    </row>
    <row r="234" ht="13.8" customHeight="1" s="113">
      <c r="A234" s="109" t="inlineStr">
        <is>
          <t>AI22529</t>
        </is>
      </c>
      <c r="B234" s="109" t="inlineStr">
        <is>
          <t>Alinity i</t>
        </is>
      </c>
      <c r="C234" s="109" t="inlineStr">
        <is>
          <t>Syphilis</t>
        </is>
      </c>
      <c r="D234" s="109" t="n">
        <v>565</v>
      </c>
      <c r="E234" s="109" t="n">
        <v>933</v>
      </c>
      <c r="F234" s="109" t="n">
        <v>848</v>
      </c>
      <c r="G234" s="109" t="n">
        <v>43</v>
      </c>
      <c r="H234" s="109" t="n">
        <v>0</v>
      </c>
      <c r="I234" s="109" t="n">
        <v>9</v>
      </c>
      <c r="J234" s="109" t="n">
        <v>254</v>
      </c>
      <c r="K234" s="109" t="n">
        <v>230</v>
      </c>
      <c r="L234" s="109" t="n">
        <v>1196</v>
      </c>
      <c r="M234" s="109" t="n">
        <v>398.666666666667</v>
      </c>
    </row>
    <row r="235" ht="13.8" customHeight="1" s="113">
      <c r="A235" s="109" t="inlineStr">
        <is>
          <t>AI22529</t>
        </is>
      </c>
      <c r="B235" s="109" t="inlineStr">
        <is>
          <t>Alinity i</t>
        </is>
      </c>
      <c r="C235" s="109" t="inlineStr">
        <is>
          <t>Tacrolimus</t>
        </is>
      </c>
      <c r="D235" s="109" t="n">
        <v>642</v>
      </c>
      <c r="E235" s="109" t="n">
        <v>340</v>
      </c>
      <c r="F235" s="109" t="n">
        <v>340</v>
      </c>
      <c r="G235" s="109" t="n">
        <v>41</v>
      </c>
      <c r="H235" s="109" t="n">
        <v>0</v>
      </c>
      <c r="I235" s="109" t="n">
        <v>12</v>
      </c>
      <c r="J235" s="109" t="n">
        <v>138</v>
      </c>
      <c r="K235" s="109" t="n">
        <v>138</v>
      </c>
      <c r="L235" s="109" t="n">
        <v>490</v>
      </c>
      <c r="M235" s="109" t="n">
        <v>163.333333333333</v>
      </c>
    </row>
    <row r="236" ht="13.8" customHeight="1" s="113">
      <c r="A236" s="109" t="inlineStr">
        <is>
          <t>AC04860</t>
        </is>
      </c>
      <c r="B236" s="109" t="inlineStr">
        <is>
          <t>Alinity c</t>
        </is>
      </c>
      <c r="C236" s="109" t="inlineStr">
        <is>
          <t>TBili2</t>
        </is>
      </c>
      <c r="D236" s="109" t="n">
        <v>1472</v>
      </c>
      <c r="E236" s="109" t="n">
        <v>9220</v>
      </c>
      <c r="F236" s="109" t="n">
        <v>7960</v>
      </c>
      <c r="G236" s="109" t="n">
        <v>987</v>
      </c>
      <c r="H236" s="109" t="n">
        <v>13</v>
      </c>
      <c r="I236" s="109" t="n">
        <v>204</v>
      </c>
      <c r="J236" s="109" t="n">
        <v>367</v>
      </c>
      <c r="K236" s="109" t="n">
        <v>343</v>
      </c>
      <c r="L236" s="109" t="n">
        <v>9791</v>
      </c>
      <c r="M236" s="109" t="n">
        <v>3263.66666666667</v>
      </c>
    </row>
    <row r="237" ht="13.8" customHeight="1" s="113">
      <c r="A237" s="109" t="inlineStr">
        <is>
          <t>AC04860</t>
        </is>
      </c>
      <c r="B237" s="109" t="inlineStr">
        <is>
          <t>Alinity c</t>
        </is>
      </c>
      <c r="C237" s="109" t="inlineStr">
        <is>
          <t>TBili2</t>
        </is>
      </c>
      <c r="D237" s="109" t="n">
        <v>1472</v>
      </c>
      <c r="E237" s="109" t="n">
        <v>7466</v>
      </c>
      <c r="F237" s="109" t="n">
        <v>7074</v>
      </c>
      <c r="G237" s="109" t="n">
        <v>306</v>
      </c>
      <c r="H237" s="109" t="n">
        <v>12</v>
      </c>
      <c r="I237" s="109" t="n">
        <v>102</v>
      </c>
      <c r="J237" s="109" t="n">
        <v>319</v>
      </c>
      <c r="K237" s="109" t="n">
        <v>300</v>
      </c>
      <c r="L237" s="109" t="n">
        <v>7887</v>
      </c>
      <c r="M237" s="109" t="n">
        <v>2629</v>
      </c>
    </row>
    <row r="238" ht="13.8" customHeight="1" s="113">
      <c r="A238" s="109" t="inlineStr">
        <is>
          <t>AC04860</t>
        </is>
      </c>
      <c r="B238" s="109" t="inlineStr">
        <is>
          <t>Alinity c</t>
        </is>
      </c>
      <c r="C238" s="109" t="inlineStr">
        <is>
          <t>TBili2</t>
        </is>
      </c>
      <c r="D238" s="109" t="n">
        <v>1472</v>
      </c>
      <c r="E238" s="109" t="n">
        <v>9398</v>
      </c>
      <c r="F238" s="109" t="n">
        <v>8289</v>
      </c>
      <c r="G238" s="109" t="n">
        <v>819</v>
      </c>
      <c r="H238" s="109" t="n">
        <v>7</v>
      </c>
      <c r="I238" s="109" t="n">
        <v>126</v>
      </c>
      <c r="J238" s="109" t="n">
        <v>348</v>
      </c>
      <c r="K238" s="109" t="n">
        <v>337</v>
      </c>
      <c r="L238" s="109" t="n">
        <v>9872</v>
      </c>
      <c r="M238" s="109" t="n">
        <v>3290.66666666667</v>
      </c>
    </row>
    <row r="239" ht="13.8" customHeight="1" s="113">
      <c r="A239" s="109" t="inlineStr">
        <is>
          <t>AI22529</t>
        </is>
      </c>
      <c r="B239" s="109" t="inlineStr">
        <is>
          <t>Alinity i</t>
        </is>
      </c>
      <c r="C239" s="109" t="inlineStr">
        <is>
          <t>Testo</t>
        </is>
      </c>
      <c r="D239" s="109" t="n">
        <v>420</v>
      </c>
      <c r="E239" s="109" t="n">
        <v>819</v>
      </c>
      <c r="F239" s="109" t="n">
        <v>755</v>
      </c>
      <c r="G239" s="109" t="n">
        <v>163</v>
      </c>
      <c r="H239" s="109" t="n">
        <v>723</v>
      </c>
      <c r="I239" s="109" t="n">
        <v>84</v>
      </c>
      <c r="J239" s="109" t="n">
        <v>329</v>
      </c>
      <c r="K239" s="109" t="n">
        <v>208</v>
      </c>
      <c r="L239" s="109" t="n">
        <v>1232</v>
      </c>
      <c r="M239" s="109" t="n">
        <v>410.666666666667</v>
      </c>
    </row>
    <row r="240" ht="13.8" customHeight="1" s="113">
      <c r="A240" s="109" t="inlineStr">
        <is>
          <t>AI22529</t>
        </is>
      </c>
      <c r="B240" s="109" t="inlineStr">
        <is>
          <t>Alinity i</t>
        </is>
      </c>
      <c r="C240" s="109" t="inlineStr">
        <is>
          <t>Tg</t>
        </is>
      </c>
      <c r="D240" s="109" t="n">
        <v>521</v>
      </c>
      <c r="E240" s="109" t="n">
        <v>0</v>
      </c>
      <c r="F240" s="109" t="n">
        <v>0</v>
      </c>
      <c r="G240" s="109" t="n">
        <v>0</v>
      </c>
      <c r="H240" s="109" t="n">
        <v>0</v>
      </c>
      <c r="I240" s="109" t="n">
        <v>12</v>
      </c>
      <c r="J240" s="109" t="n">
        <v>0</v>
      </c>
      <c r="K240" s="109" t="n">
        <v>0</v>
      </c>
      <c r="L240" s="109" t="n">
        <v>12</v>
      </c>
      <c r="M240" s="109" t="n">
        <v>4</v>
      </c>
    </row>
    <row r="241" ht="13.8" customHeight="1" s="113">
      <c r="A241" s="109" t="inlineStr">
        <is>
          <t>AI22529</t>
        </is>
      </c>
      <c r="B241" s="109" t="inlineStr">
        <is>
          <t>Alinity i</t>
        </is>
      </c>
      <c r="C241" s="109" t="inlineStr">
        <is>
          <t>Tg</t>
        </is>
      </c>
      <c r="D241" s="109" t="n">
        <v>521</v>
      </c>
      <c r="E241" s="109" t="n">
        <v>0</v>
      </c>
      <c r="F241" s="109" t="n">
        <v>0</v>
      </c>
      <c r="G241" s="109" t="n">
        <v>0</v>
      </c>
      <c r="H241" s="109" t="n">
        <v>0</v>
      </c>
      <c r="I241" s="109" t="n">
        <v>12</v>
      </c>
      <c r="J241" s="109" t="n">
        <v>0</v>
      </c>
      <c r="K241" s="109" t="n">
        <v>0</v>
      </c>
      <c r="L241" s="109" t="n">
        <v>12</v>
      </c>
      <c r="M241" s="109" t="n">
        <v>4</v>
      </c>
    </row>
    <row r="242" ht="13.8" customHeight="1" s="113">
      <c r="A242" s="109" t="inlineStr">
        <is>
          <t>AC04860</t>
        </is>
      </c>
      <c r="B242" s="109" t="inlineStr">
        <is>
          <t>Alinity c</t>
        </is>
      </c>
      <c r="C242" s="109" t="inlineStr">
        <is>
          <t>THC1SQ</t>
        </is>
      </c>
      <c r="D242" s="109" t="n">
        <v>1856</v>
      </c>
      <c r="E242" s="109" t="n">
        <v>2011</v>
      </c>
      <c r="F242" s="109" t="n">
        <v>1994</v>
      </c>
      <c r="G242" s="109" t="n">
        <v>37</v>
      </c>
      <c r="H242" s="109" t="n">
        <v>0</v>
      </c>
      <c r="I242" s="109" t="n">
        <v>72</v>
      </c>
      <c r="J242" s="109" t="n">
        <v>222</v>
      </c>
      <c r="K242" s="109" t="n">
        <v>216</v>
      </c>
      <c r="L242" s="109" t="n">
        <v>2305</v>
      </c>
      <c r="M242" s="109" t="n">
        <v>768.333333333333</v>
      </c>
    </row>
    <row r="243" ht="13.8" customHeight="1" s="113">
      <c r="A243" s="109" t="inlineStr">
        <is>
          <t>AC04860</t>
        </is>
      </c>
      <c r="B243" s="109" t="inlineStr">
        <is>
          <t>Alinity c</t>
        </is>
      </c>
      <c r="C243" s="109" t="inlineStr">
        <is>
          <t>THC1SQ</t>
        </is>
      </c>
      <c r="D243" s="109" t="n">
        <v>1856</v>
      </c>
      <c r="E243" s="109" t="n">
        <v>12</v>
      </c>
      <c r="F243" s="109" t="n">
        <v>12</v>
      </c>
      <c r="G243" s="109" t="n">
        <v>0</v>
      </c>
      <c r="H243" s="109" t="n">
        <v>0</v>
      </c>
      <c r="I243" s="109" t="n">
        <v>8</v>
      </c>
      <c r="J243" s="109" t="n">
        <v>3</v>
      </c>
      <c r="K243" s="109" t="n">
        <v>3</v>
      </c>
      <c r="L243" s="109" t="n">
        <v>23</v>
      </c>
      <c r="M243" s="109" t="n">
        <v>7.66666666666667</v>
      </c>
    </row>
    <row r="244" ht="13.8" customHeight="1" s="113">
      <c r="A244" s="109" t="inlineStr">
        <is>
          <t>AI22529</t>
        </is>
      </c>
      <c r="B244" s="109" t="inlineStr">
        <is>
          <t>Alinity i</t>
        </is>
      </c>
      <c r="C244" s="109" t="inlineStr">
        <is>
          <t>tHCY-DIL</t>
        </is>
      </c>
      <c r="D244" s="109" t="n">
        <v>193</v>
      </c>
      <c r="E244" s="109" t="n">
        <v>49</v>
      </c>
      <c r="F244" s="109" t="n">
        <v>49</v>
      </c>
      <c r="G244" s="109" t="n">
        <v>1</v>
      </c>
      <c r="H244" s="109" t="n">
        <v>0</v>
      </c>
      <c r="I244" s="109" t="n">
        <v>0</v>
      </c>
      <c r="J244" s="109" t="n">
        <v>2</v>
      </c>
      <c r="K244" s="109" t="n">
        <v>2</v>
      </c>
      <c r="L244" s="109" t="n">
        <v>51</v>
      </c>
      <c r="M244" s="109" t="n">
        <v>17</v>
      </c>
    </row>
    <row r="245" ht="13.8" customHeight="1" s="113">
      <c r="A245" s="109" t="inlineStr">
        <is>
          <t>AI22529</t>
        </is>
      </c>
      <c r="B245" s="109" t="inlineStr">
        <is>
          <t>Alinity i</t>
        </is>
      </c>
      <c r="C245" s="109" t="inlineStr">
        <is>
          <t>tHCY-UNDIL</t>
        </is>
      </c>
      <c r="D245" s="109" t="n">
        <v>183</v>
      </c>
      <c r="E245" s="109" t="n">
        <v>1970</v>
      </c>
      <c r="F245" s="109" t="n">
        <v>1929</v>
      </c>
      <c r="G245" s="109" t="n">
        <v>155</v>
      </c>
      <c r="H245" s="109" t="n">
        <v>0</v>
      </c>
      <c r="I245" s="109" t="n">
        <v>72</v>
      </c>
      <c r="J245" s="109" t="n">
        <v>275</v>
      </c>
      <c r="K245" s="109" t="n">
        <v>262</v>
      </c>
      <c r="L245" s="109" t="n">
        <v>2317</v>
      </c>
      <c r="M245" s="109" t="n">
        <v>772.333333333333</v>
      </c>
    </row>
    <row r="246" ht="13.8" customHeight="1" s="113">
      <c r="A246" s="109" t="inlineStr">
        <is>
          <t>AC04860</t>
        </is>
      </c>
      <c r="B246" s="109" t="inlineStr">
        <is>
          <t>Alinity c</t>
        </is>
      </c>
      <c r="C246" s="109" t="inlineStr">
        <is>
          <t>Theo</t>
        </is>
      </c>
      <c r="D246" s="109" t="n">
        <v>1883</v>
      </c>
      <c r="E246" s="109" t="n">
        <v>1</v>
      </c>
      <c r="F246" s="109" t="n">
        <v>1</v>
      </c>
      <c r="G246" s="109" t="n">
        <v>0</v>
      </c>
      <c r="H246" s="109" t="n">
        <v>0</v>
      </c>
      <c r="I246" s="109" t="n">
        <v>156</v>
      </c>
      <c r="J246" s="109" t="n">
        <v>143</v>
      </c>
      <c r="K246" s="109" t="n">
        <v>126</v>
      </c>
      <c r="L246" s="109" t="n">
        <v>300</v>
      </c>
      <c r="M246" s="109" t="n">
        <v>100</v>
      </c>
    </row>
    <row r="247" ht="13.8" customHeight="1" s="113">
      <c r="A247" s="109" t="inlineStr">
        <is>
          <t>AI22529</t>
        </is>
      </c>
      <c r="B247" s="109" t="inlineStr">
        <is>
          <t>Alinity i</t>
        </is>
      </c>
      <c r="C247" s="109" t="inlineStr">
        <is>
          <t>TnI MI RS</t>
        </is>
      </c>
      <c r="D247" s="109" t="n">
        <v>487</v>
      </c>
      <c r="E247" s="109" t="n">
        <v>1752</v>
      </c>
      <c r="F247" s="109" t="n">
        <v>1668</v>
      </c>
      <c r="G247" s="109" t="n">
        <v>59</v>
      </c>
      <c r="H247" s="109" t="n">
        <v>8</v>
      </c>
      <c r="I247" s="109" t="n">
        <v>24</v>
      </c>
      <c r="J247" s="109" t="n">
        <v>238</v>
      </c>
      <c r="K247" s="109" t="n">
        <v>207</v>
      </c>
      <c r="L247" s="109" t="n">
        <v>2014</v>
      </c>
      <c r="M247" s="109" t="n">
        <v>671.333333333333</v>
      </c>
    </row>
    <row r="248" ht="13.8" customHeight="1" s="113">
      <c r="A248" s="109" t="inlineStr">
        <is>
          <t>AI22529</t>
        </is>
      </c>
      <c r="B248" s="109" t="inlineStr">
        <is>
          <t>Alinity i</t>
        </is>
      </c>
      <c r="C248" s="109" t="inlineStr">
        <is>
          <t>TnI MI RS</t>
        </is>
      </c>
      <c r="D248" s="109" t="n">
        <v>487</v>
      </c>
      <c r="E248" s="109" t="n">
        <v>0</v>
      </c>
      <c r="F248" s="109" t="n">
        <v>0</v>
      </c>
      <c r="G248" s="109" t="n">
        <v>0</v>
      </c>
      <c r="H248" s="109" t="n">
        <v>0</v>
      </c>
      <c r="I248" s="109" t="n">
        <v>0</v>
      </c>
      <c r="J248" s="109" t="n">
        <v>6</v>
      </c>
      <c r="K248" s="109" t="n">
        <v>6</v>
      </c>
      <c r="L248" s="109" t="n">
        <v>6</v>
      </c>
      <c r="M248" s="109" t="n">
        <v>2</v>
      </c>
    </row>
    <row r="249" ht="13.8" customHeight="1" s="113">
      <c r="A249" s="109" t="inlineStr">
        <is>
          <t>AI22529</t>
        </is>
      </c>
      <c r="B249" s="109" t="inlineStr">
        <is>
          <t>Alinity i</t>
        </is>
      </c>
      <c r="C249" s="109" t="inlineStr">
        <is>
          <t>TnI MI RS</t>
        </is>
      </c>
      <c r="D249" s="109" t="n">
        <v>487</v>
      </c>
      <c r="E249" s="109" t="n">
        <v>7443</v>
      </c>
      <c r="F249" s="109" t="n">
        <v>7241</v>
      </c>
      <c r="G249" s="109" t="n">
        <v>233</v>
      </c>
      <c r="H249" s="109" t="n">
        <v>73</v>
      </c>
      <c r="I249" s="109" t="n">
        <v>84</v>
      </c>
      <c r="J249" s="109" t="n">
        <v>256</v>
      </c>
      <c r="K249" s="109" t="n">
        <v>224</v>
      </c>
      <c r="L249" s="109" t="n">
        <v>7783</v>
      </c>
      <c r="M249" s="109" t="n">
        <v>2594.33333333333</v>
      </c>
    </row>
    <row r="250" ht="13.8" customHeight="1" s="113">
      <c r="A250" s="109" t="inlineStr">
        <is>
          <t>AI22529</t>
        </is>
      </c>
      <c r="B250" s="109" t="inlineStr">
        <is>
          <t>Alinity i</t>
        </is>
      </c>
      <c r="C250" s="109" t="inlineStr">
        <is>
          <t>Total PSA</t>
        </is>
      </c>
      <c r="D250" s="109" t="n">
        <v>355</v>
      </c>
      <c r="E250" s="109" t="n">
        <v>3970</v>
      </c>
      <c r="F250" s="109" t="n">
        <v>3556</v>
      </c>
      <c r="G250" s="109" t="n">
        <v>320</v>
      </c>
      <c r="H250" s="109" t="n">
        <v>18</v>
      </c>
      <c r="I250" s="109" t="n">
        <v>4</v>
      </c>
      <c r="J250" s="109" t="n">
        <v>240</v>
      </c>
      <c r="K250" s="109" t="n">
        <v>209</v>
      </c>
      <c r="L250" s="109" t="n">
        <v>4214</v>
      </c>
      <c r="M250" s="109" t="n">
        <v>1404.66666666667</v>
      </c>
    </row>
    <row r="251" ht="13.8" customHeight="1" s="113">
      <c r="A251" s="109" t="inlineStr">
        <is>
          <t>AI22529</t>
        </is>
      </c>
      <c r="B251" s="109" t="inlineStr">
        <is>
          <t>Alinity i</t>
        </is>
      </c>
      <c r="C251" s="109" t="inlineStr">
        <is>
          <t>Total PSA</t>
        </is>
      </c>
      <c r="D251" s="109" t="n">
        <v>355</v>
      </c>
      <c r="E251" s="109" t="n">
        <v>3717</v>
      </c>
      <c r="F251" s="109" t="n">
        <v>2937</v>
      </c>
      <c r="G251" s="109" t="n">
        <v>431</v>
      </c>
      <c r="H251" s="109" t="n">
        <v>84</v>
      </c>
      <c r="I251" s="109" t="n">
        <v>8</v>
      </c>
      <c r="J251" s="109" t="n">
        <v>261</v>
      </c>
      <c r="K251" s="109" t="n">
        <v>228</v>
      </c>
      <c r="L251" s="109" t="n">
        <v>3986</v>
      </c>
      <c r="M251" s="109" t="n">
        <v>1328.66666666667</v>
      </c>
    </row>
    <row r="252" ht="13.8" customHeight="1" s="113">
      <c r="A252" s="109" t="inlineStr">
        <is>
          <t>AI22529</t>
        </is>
      </c>
      <c r="B252" s="109" t="inlineStr">
        <is>
          <t>Alinity i</t>
        </is>
      </c>
      <c r="C252" s="109" t="inlineStr">
        <is>
          <t>Total PSA</t>
        </is>
      </c>
      <c r="D252" s="109" t="n">
        <v>355</v>
      </c>
      <c r="E252" s="109" t="n">
        <v>294</v>
      </c>
      <c r="F252" s="109" t="n">
        <v>242</v>
      </c>
      <c r="G252" s="109" t="n">
        <v>29</v>
      </c>
      <c r="H252" s="109" t="n">
        <v>10</v>
      </c>
      <c r="I252" s="109" t="n">
        <v>4</v>
      </c>
      <c r="J252" s="109" t="n">
        <v>128</v>
      </c>
      <c r="K252" s="109" t="n">
        <v>112</v>
      </c>
      <c r="L252" s="109" t="n">
        <v>426</v>
      </c>
      <c r="M252" s="109" t="n">
        <v>142</v>
      </c>
    </row>
    <row r="253" ht="13.8" customHeight="1" s="113">
      <c r="A253" s="109" t="inlineStr">
        <is>
          <t>AC04860</t>
        </is>
      </c>
      <c r="B253" s="109" t="inlineStr">
        <is>
          <t>Alinity c</t>
        </is>
      </c>
      <c r="C253" s="109" t="inlineStr">
        <is>
          <t>TPRO2</t>
        </is>
      </c>
      <c r="D253" s="109" t="n">
        <v>1406</v>
      </c>
      <c r="E253" s="109" t="n">
        <v>11691</v>
      </c>
      <c r="F253" s="109" t="n">
        <v>10140</v>
      </c>
      <c r="G253" s="109" t="n">
        <v>1307</v>
      </c>
      <c r="H253" s="109" t="n">
        <v>0</v>
      </c>
      <c r="I253" s="109" t="n">
        <v>32</v>
      </c>
      <c r="J253" s="109" t="n">
        <v>295</v>
      </c>
      <c r="K253" s="109" t="n">
        <v>266</v>
      </c>
      <c r="L253" s="109" t="n">
        <v>12018</v>
      </c>
      <c r="M253" s="109" t="n">
        <v>4006</v>
      </c>
    </row>
    <row r="254" ht="13.8" customHeight="1" s="113">
      <c r="A254" s="109" t="inlineStr">
        <is>
          <t>AC04860</t>
        </is>
      </c>
      <c r="B254" s="109" t="inlineStr">
        <is>
          <t>Alinity c</t>
        </is>
      </c>
      <c r="C254" s="109" t="inlineStr">
        <is>
          <t>TPRO2</t>
        </is>
      </c>
      <c r="D254" s="109" t="n">
        <v>1406</v>
      </c>
      <c r="E254" s="109" t="n">
        <v>9943</v>
      </c>
      <c r="F254" s="109" t="n">
        <v>9637</v>
      </c>
      <c r="G254" s="109" t="n">
        <v>258</v>
      </c>
      <c r="H254" s="109" t="n">
        <v>0</v>
      </c>
      <c r="I254" s="109" t="n">
        <v>32</v>
      </c>
      <c r="J254" s="109" t="n">
        <v>231</v>
      </c>
      <c r="K254" s="109" t="n">
        <v>220</v>
      </c>
      <c r="L254" s="109" t="n">
        <v>10206</v>
      </c>
      <c r="M254" s="109" t="n">
        <v>3402</v>
      </c>
    </row>
    <row r="255" ht="13.8" customHeight="1" s="113">
      <c r="A255" s="109" t="inlineStr">
        <is>
          <t>AC04860</t>
        </is>
      </c>
      <c r="B255" s="109" t="inlineStr">
        <is>
          <t>Alinity c</t>
        </is>
      </c>
      <c r="C255" s="109" t="inlineStr">
        <is>
          <t>TPRO2</t>
        </is>
      </c>
      <c r="D255" s="109" t="n">
        <v>1406</v>
      </c>
      <c r="E255" s="109" t="n">
        <v>12022</v>
      </c>
      <c r="F255" s="109" t="n">
        <v>10869</v>
      </c>
      <c r="G255" s="109" t="n">
        <v>899</v>
      </c>
      <c r="H255" s="109" t="n">
        <v>0</v>
      </c>
      <c r="I255" s="109" t="n">
        <v>32</v>
      </c>
      <c r="J255" s="109" t="n">
        <v>276</v>
      </c>
      <c r="K255" s="109" t="n">
        <v>265</v>
      </c>
      <c r="L255" s="109" t="n">
        <v>12330</v>
      </c>
      <c r="M255" s="109" t="n">
        <v>4110</v>
      </c>
    </row>
    <row r="256" ht="13.8" customHeight="1" s="113">
      <c r="A256" s="109" t="inlineStr">
        <is>
          <t>AC04860</t>
        </is>
      </c>
      <c r="B256" s="109" t="inlineStr">
        <is>
          <t>Alinity c</t>
        </is>
      </c>
      <c r="C256" s="109" t="inlineStr">
        <is>
          <t>Transf</t>
        </is>
      </c>
      <c r="D256" s="109" t="n">
        <v>1251</v>
      </c>
      <c r="E256" s="109" t="n">
        <v>1440</v>
      </c>
      <c r="F256" s="109" t="n">
        <v>1238</v>
      </c>
      <c r="G256" s="109" t="n">
        <v>161</v>
      </c>
      <c r="H256" s="109" t="n">
        <v>2</v>
      </c>
      <c r="I256" s="109" t="n">
        <v>54</v>
      </c>
      <c r="J256" s="109" t="n">
        <v>205</v>
      </c>
      <c r="K256" s="109" t="n">
        <v>186</v>
      </c>
      <c r="L256" s="109" t="n">
        <v>1699</v>
      </c>
      <c r="M256" s="109" t="n">
        <v>566.333333333333</v>
      </c>
    </row>
    <row r="257" ht="13.8" customHeight="1" s="113">
      <c r="A257" s="109" t="inlineStr">
        <is>
          <t>AC04860</t>
        </is>
      </c>
      <c r="B257" s="109" t="inlineStr">
        <is>
          <t>Alinity c</t>
        </is>
      </c>
      <c r="C257" s="109" t="inlineStr">
        <is>
          <t>Transf</t>
        </is>
      </c>
      <c r="D257" s="109" t="n">
        <v>1251</v>
      </c>
      <c r="E257" s="109" t="n">
        <v>77</v>
      </c>
      <c r="F257" s="109" t="n">
        <v>73</v>
      </c>
      <c r="G257" s="109" t="n">
        <v>7</v>
      </c>
      <c r="H257" s="109" t="n">
        <v>1</v>
      </c>
      <c r="I257" s="109" t="n">
        <v>36</v>
      </c>
      <c r="J257" s="109" t="n">
        <v>30</v>
      </c>
      <c r="K257" s="109" t="n">
        <v>30</v>
      </c>
      <c r="L257" s="109" t="n">
        <v>143</v>
      </c>
      <c r="M257" s="109" t="n">
        <v>47.6666666666667</v>
      </c>
    </row>
    <row r="258" ht="13.8" customHeight="1" s="113">
      <c r="A258" s="109" t="inlineStr">
        <is>
          <t>AC04860</t>
        </is>
      </c>
      <c r="B258" s="109" t="inlineStr">
        <is>
          <t>Alinity c</t>
        </is>
      </c>
      <c r="C258" s="109" t="inlineStr">
        <is>
          <t>Transf</t>
        </is>
      </c>
      <c r="D258" s="109" t="n">
        <v>1251</v>
      </c>
      <c r="E258" s="109" t="n">
        <v>2099</v>
      </c>
      <c r="F258" s="109" t="n">
        <v>1890</v>
      </c>
      <c r="G258" s="109" t="n">
        <v>137</v>
      </c>
      <c r="H258" s="109" t="n">
        <v>3</v>
      </c>
      <c r="I258" s="109" t="n">
        <v>54</v>
      </c>
      <c r="J258" s="109" t="n">
        <v>263</v>
      </c>
      <c r="K258" s="109" t="n">
        <v>250</v>
      </c>
      <c r="L258" s="109" t="n">
        <v>2416</v>
      </c>
      <c r="M258" s="109" t="n">
        <v>805.333333333333</v>
      </c>
    </row>
    <row r="259" ht="13.8" customHeight="1" s="113">
      <c r="A259" s="109" t="inlineStr">
        <is>
          <t>AC04860</t>
        </is>
      </c>
      <c r="B259" s="109" t="inlineStr">
        <is>
          <t>Alinity c</t>
        </is>
      </c>
      <c r="C259" s="109" t="inlineStr">
        <is>
          <t>Trig2</t>
        </is>
      </c>
      <c r="D259" s="109" t="n">
        <v>1417</v>
      </c>
      <c r="E259" s="109" t="n">
        <v>12505</v>
      </c>
      <c r="F259" s="109" t="n">
        <v>10577</v>
      </c>
      <c r="G259" s="109" t="n">
        <v>1641</v>
      </c>
      <c r="H259" s="109" t="n">
        <v>0</v>
      </c>
      <c r="I259" s="109" t="n">
        <v>66</v>
      </c>
      <c r="J259" s="109" t="n">
        <v>331</v>
      </c>
      <c r="K259" s="109" t="n">
        <v>313</v>
      </c>
      <c r="L259" s="109" t="n">
        <v>12902</v>
      </c>
      <c r="M259" s="109" t="n">
        <v>4300.66666666667</v>
      </c>
    </row>
    <row r="260" ht="13.8" customHeight="1" s="113">
      <c r="A260" s="109" t="inlineStr">
        <is>
          <t>AC04860</t>
        </is>
      </c>
      <c r="B260" s="109" t="inlineStr">
        <is>
          <t>Alinity c</t>
        </is>
      </c>
      <c r="C260" s="109" t="inlineStr">
        <is>
          <t>Trig2</t>
        </is>
      </c>
      <c r="D260" s="109" t="n">
        <v>1417</v>
      </c>
      <c r="E260" s="109" t="n">
        <v>1409</v>
      </c>
      <c r="F260" s="109" t="n">
        <v>1376</v>
      </c>
      <c r="G260" s="109" t="n">
        <v>22</v>
      </c>
      <c r="H260" s="109" t="n">
        <v>0</v>
      </c>
      <c r="I260" s="109" t="n">
        <v>72</v>
      </c>
      <c r="J260" s="109" t="n">
        <v>172</v>
      </c>
      <c r="K260" s="109" t="n">
        <v>164</v>
      </c>
      <c r="L260" s="109" t="n">
        <v>1653</v>
      </c>
      <c r="M260" s="109" t="n">
        <v>551</v>
      </c>
    </row>
    <row r="261" ht="13.8" customHeight="1" s="113">
      <c r="A261" s="109" t="inlineStr">
        <is>
          <t>AC04860</t>
        </is>
      </c>
      <c r="B261" s="109" t="inlineStr">
        <is>
          <t>Alinity c</t>
        </is>
      </c>
      <c r="C261" s="109" t="inlineStr">
        <is>
          <t>Trig2</t>
        </is>
      </c>
      <c r="D261" s="109" t="n">
        <v>1417</v>
      </c>
      <c r="E261" s="109" t="n">
        <v>11850</v>
      </c>
      <c r="F261" s="109" t="n">
        <v>10743</v>
      </c>
      <c r="G261" s="109" t="n">
        <v>802</v>
      </c>
      <c r="H261" s="109" t="n">
        <v>1</v>
      </c>
      <c r="I261" s="109" t="n">
        <v>132</v>
      </c>
      <c r="J261" s="109" t="n">
        <v>344</v>
      </c>
      <c r="K261" s="109" t="n">
        <v>330</v>
      </c>
      <c r="L261" s="109" t="n">
        <v>12326</v>
      </c>
      <c r="M261" s="109" t="n">
        <v>4108.66666666667</v>
      </c>
    </row>
    <row r="262" ht="13.8" customHeight="1" s="113">
      <c r="A262" s="109" t="inlineStr">
        <is>
          <t>AI22529</t>
        </is>
      </c>
      <c r="B262" s="109" t="inlineStr">
        <is>
          <t>Alinity i</t>
        </is>
      </c>
      <c r="C262" s="109" t="inlineStr">
        <is>
          <t>TSH</t>
        </is>
      </c>
      <c r="D262" s="109" t="n">
        <v>248</v>
      </c>
      <c r="E262" s="109" t="n">
        <v>7685</v>
      </c>
      <c r="F262" s="109" t="n">
        <v>6894</v>
      </c>
      <c r="G262" s="109" t="n">
        <v>564</v>
      </c>
      <c r="H262" s="109" t="n">
        <v>22</v>
      </c>
      <c r="I262" s="109" t="n">
        <v>40</v>
      </c>
      <c r="J262" s="109" t="n">
        <v>295</v>
      </c>
      <c r="K262" s="109" t="n">
        <v>247</v>
      </c>
      <c r="L262" s="109" t="n">
        <v>8020</v>
      </c>
      <c r="M262" s="109" t="n">
        <v>2673.33333333333</v>
      </c>
    </row>
    <row r="263" ht="13.8" customHeight="1" s="113">
      <c r="A263" s="109" t="inlineStr">
        <is>
          <t>AI22529</t>
        </is>
      </c>
      <c r="B263" s="109" t="inlineStr">
        <is>
          <t>Alinity i</t>
        </is>
      </c>
      <c r="C263" s="109" t="inlineStr">
        <is>
          <t>TSH</t>
        </is>
      </c>
      <c r="D263" s="109" t="n">
        <v>248</v>
      </c>
      <c r="E263" s="109" t="n">
        <v>7542</v>
      </c>
      <c r="F263" s="109" t="n">
        <v>6552</v>
      </c>
      <c r="G263" s="109" t="n">
        <v>690</v>
      </c>
      <c r="H263" s="109" t="n">
        <v>35</v>
      </c>
      <c r="I263" s="109" t="n">
        <v>32</v>
      </c>
      <c r="J263" s="109" t="n">
        <v>304</v>
      </c>
      <c r="K263" s="109" t="n">
        <v>255</v>
      </c>
      <c r="L263" s="109" t="n">
        <v>7878</v>
      </c>
      <c r="M263" s="109" t="n">
        <v>2626</v>
      </c>
    </row>
    <row r="264" ht="13.8" customHeight="1" s="113">
      <c r="A264" s="109" t="inlineStr">
        <is>
          <t>AI22529</t>
        </is>
      </c>
      <c r="B264" s="109" t="inlineStr">
        <is>
          <t>Alinity i</t>
        </is>
      </c>
      <c r="C264" s="109" t="inlineStr">
        <is>
          <t>TSH</t>
        </is>
      </c>
      <c r="D264" s="109" t="n">
        <v>248</v>
      </c>
      <c r="E264" s="109" t="n">
        <v>784</v>
      </c>
      <c r="F264" s="109" t="n">
        <v>768</v>
      </c>
      <c r="G264" s="109" t="n">
        <v>30</v>
      </c>
      <c r="H264" s="109" t="n">
        <v>5</v>
      </c>
      <c r="I264" s="109" t="n">
        <v>16</v>
      </c>
      <c r="J264" s="109" t="n">
        <v>167</v>
      </c>
      <c r="K264" s="109" t="n">
        <v>152</v>
      </c>
      <c r="L264" s="109" t="n">
        <v>967</v>
      </c>
      <c r="M264" s="109" t="n">
        <v>322.333333333333</v>
      </c>
    </row>
    <row r="265" ht="13.8" customHeight="1" s="113">
      <c r="A265" s="109" t="inlineStr">
        <is>
          <t>AC04860</t>
        </is>
      </c>
      <c r="B265" s="109" t="inlineStr">
        <is>
          <t>Alinity c</t>
        </is>
      </c>
      <c r="C265" s="109" t="inlineStr">
        <is>
          <t>U/CSF Prot</t>
        </is>
      </c>
      <c r="D265" s="109" t="n">
        <v>1044</v>
      </c>
      <c r="E265" s="109" t="n">
        <v>70</v>
      </c>
      <c r="F265" s="109" t="n">
        <v>52</v>
      </c>
      <c r="G265" s="109" t="n">
        <v>9</v>
      </c>
      <c r="H265" s="109" t="n">
        <v>13</v>
      </c>
      <c r="I265" s="109" t="n">
        <v>36</v>
      </c>
      <c r="J265" s="109" t="n">
        <v>146</v>
      </c>
      <c r="K265" s="109" t="n">
        <v>138</v>
      </c>
      <c r="L265" s="109" t="n">
        <v>252</v>
      </c>
      <c r="M265" s="109" t="n">
        <v>84</v>
      </c>
    </row>
    <row r="266" ht="13.8" customHeight="1" s="113">
      <c r="A266" s="109" t="inlineStr">
        <is>
          <t>AC04860</t>
        </is>
      </c>
      <c r="B266" s="109" t="inlineStr">
        <is>
          <t>Alinity c</t>
        </is>
      </c>
      <c r="C266" s="109" t="inlineStr">
        <is>
          <t>U/CSF Prot</t>
        </is>
      </c>
      <c r="D266" s="109" t="n">
        <v>1044</v>
      </c>
      <c r="E266" s="109" t="n">
        <v>581</v>
      </c>
      <c r="F266" s="109" t="n">
        <v>534</v>
      </c>
      <c r="G266" s="109" t="n">
        <v>36</v>
      </c>
      <c r="H266" s="109" t="n">
        <v>29</v>
      </c>
      <c r="I266" s="109" t="n">
        <v>54</v>
      </c>
      <c r="J266" s="109" t="n">
        <v>166</v>
      </c>
      <c r="K266" s="109" t="n">
        <v>159</v>
      </c>
      <c r="L266" s="109" t="n">
        <v>801</v>
      </c>
      <c r="M266" s="109" t="n">
        <v>267</v>
      </c>
    </row>
    <row r="267" ht="13.8" customHeight="1" s="113">
      <c r="A267" s="109" t="inlineStr">
        <is>
          <t>AC04860</t>
        </is>
      </c>
      <c r="B267" s="109" t="inlineStr">
        <is>
          <t>Alinity c</t>
        </is>
      </c>
      <c r="C267" s="109" t="inlineStr">
        <is>
          <t>Ultra HDL</t>
        </is>
      </c>
      <c r="D267" s="109" t="n">
        <v>1293</v>
      </c>
      <c r="E267" s="109" t="n">
        <v>11462</v>
      </c>
      <c r="F267" s="109" t="n">
        <v>9743</v>
      </c>
      <c r="G267" s="109" t="n">
        <v>1422</v>
      </c>
      <c r="H267" s="109" t="n">
        <v>0</v>
      </c>
      <c r="I267" s="109" t="n">
        <v>24</v>
      </c>
      <c r="J267" s="109" t="n">
        <v>350</v>
      </c>
      <c r="K267" s="109" t="n">
        <v>318</v>
      </c>
      <c r="L267" s="109" t="n">
        <v>11836</v>
      </c>
      <c r="M267" s="109" t="n">
        <v>3945.33333333333</v>
      </c>
    </row>
    <row r="268" ht="13.8" customHeight="1" s="113">
      <c r="A268" s="109" t="inlineStr">
        <is>
          <t>AC04860</t>
        </is>
      </c>
      <c r="B268" s="109" t="inlineStr">
        <is>
          <t>Alinity c</t>
        </is>
      </c>
      <c r="C268" s="109" t="inlineStr">
        <is>
          <t>Ultra HDL</t>
        </is>
      </c>
      <c r="D268" s="109" t="n">
        <v>1293</v>
      </c>
      <c r="E268" s="109" t="n">
        <v>1015</v>
      </c>
      <c r="F268" s="109" t="n">
        <v>987</v>
      </c>
      <c r="G268" s="109" t="n">
        <v>22</v>
      </c>
      <c r="H268" s="109" t="n">
        <v>0</v>
      </c>
      <c r="I268" s="109" t="n">
        <v>24</v>
      </c>
      <c r="J268" s="109" t="n">
        <v>122</v>
      </c>
      <c r="K268" s="109" t="n">
        <v>116</v>
      </c>
      <c r="L268" s="109" t="n">
        <v>1161</v>
      </c>
      <c r="M268" s="109" t="n">
        <v>387</v>
      </c>
    </row>
    <row r="269" ht="13.8" customHeight="1" s="113">
      <c r="A269" s="109" t="inlineStr">
        <is>
          <t>AC04860</t>
        </is>
      </c>
      <c r="B269" s="109" t="inlineStr">
        <is>
          <t>Alinity c</t>
        </is>
      </c>
      <c r="C269" s="109" t="inlineStr">
        <is>
          <t>Ultra HDL</t>
        </is>
      </c>
      <c r="D269" s="109" t="n">
        <v>1293</v>
      </c>
      <c r="E269" s="109" t="n">
        <v>10814</v>
      </c>
      <c r="F269" s="109" t="n">
        <v>9786</v>
      </c>
      <c r="G269" s="109" t="n">
        <v>795</v>
      </c>
      <c r="H269" s="109" t="n">
        <v>0</v>
      </c>
      <c r="I269" s="109" t="n">
        <v>24</v>
      </c>
      <c r="J269" s="109" t="n">
        <v>300</v>
      </c>
      <c r="K269" s="109" t="n">
        <v>287</v>
      </c>
      <c r="L269" s="109" t="n">
        <v>11138</v>
      </c>
      <c r="M269" s="109" t="n">
        <v>3712.66666666667</v>
      </c>
    </row>
    <row r="270" ht="13.8" customHeight="1" s="113">
      <c r="A270" s="109" t="inlineStr">
        <is>
          <t>AC04860</t>
        </is>
      </c>
      <c r="B270" s="109" t="inlineStr">
        <is>
          <t>Alinity c</t>
        </is>
      </c>
      <c r="C270" s="109" t="inlineStr">
        <is>
          <t>Urea</t>
        </is>
      </c>
      <c r="D270" s="109" t="n">
        <v>1005</v>
      </c>
      <c r="E270" s="109" t="n">
        <v>12627</v>
      </c>
      <c r="F270" s="109" t="n">
        <v>10957</v>
      </c>
      <c r="G270" s="109" t="n">
        <v>1291</v>
      </c>
      <c r="H270" s="109" t="n">
        <v>29</v>
      </c>
      <c r="I270" s="109" t="n">
        <v>234</v>
      </c>
      <c r="J270" s="109" t="n">
        <v>258</v>
      </c>
      <c r="K270" s="109" t="n">
        <v>238</v>
      </c>
      <c r="L270" s="109" t="n">
        <v>13119</v>
      </c>
      <c r="M270" s="109" t="n">
        <v>4373</v>
      </c>
    </row>
    <row r="271" ht="13.8" customHeight="1" s="113">
      <c r="A271" s="109" t="inlineStr">
        <is>
          <t>AC04860</t>
        </is>
      </c>
      <c r="B271" s="109" t="inlineStr">
        <is>
          <t>Alinity c</t>
        </is>
      </c>
      <c r="C271" s="109" t="inlineStr">
        <is>
          <t>Urea</t>
        </is>
      </c>
      <c r="D271" s="109" t="n">
        <v>1005</v>
      </c>
      <c r="E271" s="109" t="n">
        <v>12586</v>
      </c>
      <c r="F271" s="109" t="n">
        <v>12084</v>
      </c>
      <c r="G271" s="109" t="n">
        <v>466</v>
      </c>
      <c r="H271" s="109" t="n">
        <v>71</v>
      </c>
      <c r="I271" s="109" t="n">
        <v>198</v>
      </c>
      <c r="J271" s="109" t="n">
        <v>218</v>
      </c>
      <c r="K271" s="109" t="n">
        <v>204</v>
      </c>
      <c r="L271" s="109" t="n">
        <v>13002</v>
      </c>
      <c r="M271" s="109" t="n">
        <v>4334</v>
      </c>
    </row>
    <row r="272" ht="13.8" customHeight="1" s="113">
      <c r="A272" s="109" t="inlineStr">
        <is>
          <t>AC04860</t>
        </is>
      </c>
      <c r="B272" s="109" t="inlineStr">
        <is>
          <t>Alinity c</t>
        </is>
      </c>
      <c r="C272" s="109" t="inlineStr">
        <is>
          <t>Urea</t>
        </is>
      </c>
      <c r="D272" s="109" t="n">
        <v>1005</v>
      </c>
      <c r="E272" s="109" t="n">
        <v>13193</v>
      </c>
      <c r="F272" s="109" t="n">
        <v>11718</v>
      </c>
      <c r="G272" s="109" t="n">
        <v>1078</v>
      </c>
      <c r="H272" s="109" t="n">
        <v>35</v>
      </c>
      <c r="I272" s="109" t="n">
        <v>234</v>
      </c>
      <c r="J272" s="109" t="n">
        <v>289</v>
      </c>
      <c r="K272" s="109" t="n">
        <v>275</v>
      </c>
      <c r="L272" s="109" t="n">
        <v>13716</v>
      </c>
      <c r="M272" s="109" t="n">
        <v>4572</v>
      </c>
    </row>
    <row r="273" ht="13.8" customHeight="1" s="113">
      <c r="A273" s="109" t="inlineStr">
        <is>
          <t>AC04860</t>
        </is>
      </c>
      <c r="B273" s="109" t="inlineStr">
        <is>
          <t>Alinity c</t>
        </is>
      </c>
      <c r="C273" s="109" t="inlineStr">
        <is>
          <t>UreaU</t>
        </is>
      </c>
      <c r="D273" s="109" t="n">
        <v>1036</v>
      </c>
      <c r="E273" s="109" t="n">
        <v>2</v>
      </c>
      <c r="F273" s="109" t="n">
        <v>2</v>
      </c>
      <c r="G273" s="109" t="n">
        <v>0</v>
      </c>
      <c r="H273" s="109" t="n">
        <v>0</v>
      </c>
      <c r="I273" s="109" t="n">
        <v>234</v>
      </c>
      <c r="J273" s="109" t="n">
        <v>207</v>
      </c>
      <c r="K273" s="109" t="n">
        <v>190</v>
      </c>
      <c r="L273" s="109" t="n">
        <v>443</v>
      </c>
      <c r="M273" s="109" t="n">
        <v>147.666666666667</v>
      </c>
    </row>
    <row r="274" ht="13.8" customHeight="1" s="113">
      <c r="A274" s="109" t="inlineStr">
        <is>
          <t>AC04860</t>
        </is>
      </c>
      <c r="B274" s="109" t="inlineStr">
        <is>
          <t>Alinity c</t>
        </is>
      </c>
      <c r="C274" s="109" t="inlineStr">
        <is>
          <t>UreaU</t>
        </is>
      </c>
      <c r="D274" s="109" t="n">
        <v>1036</v>
      </c>
      <c r="E274" s="109" t="n">
        <v>35</v>
      </c>
      <c r="F274" s="109" t="n">
        <v>34</v>
      </c>
      <c r="G274" s="109" t="n">
        <v>1</v>
      </c>
      <c r="H274" s="109" t="n">
        <v>0</v>
      </c>
      <c r="I274" s="109" t="n">
        <v>198</v>
      </c>
      <c r="J274" s="109" t="n">
        <v>186</v>
      </c>
      <c r="K274" s="109" t="n">
        <v>177</v>
      </c>
      <c r="L274" s="109" t="n">
        <v>419</v>
      </c>
      <c r="M274" s="109" t="n">
        <v>139.666666666667</v>
      </c>
    </row>
    <row r="275" ht="13.8" customHeight="1" s="113">
      <c r="A275" s="109" t="inlineStr">
        <is>
          <t>AC04860</t>
        </is>
      </c>
      <c r="B275" s="109" t="inlineStr">
        <is>
          <t>Alinity c</t>
        </is>
      </c>
      <c r="C275" s="109" t="inlineStr">
        <is>
          <t>UreaU</t>
        </is>
      </c>
      <c r="D275" s="109" t="n">
        <v>1036</v>
      </c>
      <c r="E275" s="109" t="n">
        <v>1</v>
      </c>
      <c r="F275" s="109" t="n">
        <v>1</v>
      </c>
      <c r="G275" s="109" t="n">
        <v>0</v>
      </c>
      <c r="H275" s="109" t="n">
        <v>0</v>
      </c>
      <c r="I275" s="109" t="n">
        <v>234</v>
      </c>
      <c r="J275" s="109" t="n">
        <v>247</v>
      </c>
      <c r="K275" s="109" t="n">
        <v>233</v>
      </c>
      <c r="L275" s="109" t="n">
        <v>482</v>
      </c>
      <c r="M275" s="109" t="n">
        <v>160.666666666667</v>
      </c>
    </row>
    <row r="276" ht="13.8" customHeight="1" s="113">
      <c r="A276" s="109" t="inlineStr">
        <is>
          <t>AC04860</t>
        </is>
      </c>
      <c r="B276" s="109" t="inlineStr">
        <is>
          <t>Alinity c</t>
        </is>
      </c>
      <c r="C276" s="109" t="inlineStr">
        <is>
          <t>Uric2</t>
        </is>
      </c>
      <c r="D276" s="109" t="n">
        <v>1444</v>
      </c>
      <c r="E276" s="109" t="n">
        <v>7985</v>
      </c>
      <c r="F276" s="109" t="n">
        <v>6894</v>
      </c>
      <c r="G276" s="109" t="n">
        <v>841</v>
      </c>
      <c r="H276" s="109" t="n">
        <v>0</v>
      </c>
      <c r="I276" s="109" t="n">
        <v>64</v>
      </c>
      <c r="J276" s="109" t="n">
        <v>295</v>
      </c>
      <c r="K276" s="109" t="n">
        <v>274</v>
      </c>
      <c r="L276" s="109" t="n">
        <v>8344</v>
      </c>
      <c r="M276" s="109" t="n">
        <v>2781.33333333333</v>
      </c>
    </row>
    <row r="277" ht="13.8" customHeight="1" s="113">
      <c r="A277" s="109" t="inlineStr">
        <is>
          <t>AC04860</t>
        </is>
      </c>
      <c r="B277" s="109" t="inlineStr">
        <is>
          <t>Alinity c</t>
        </is>
      </c>
      <c r="C277" s="109" t="inlineStr">
        <is>
          <t>Uric2</t>
        </is>
      </c>
      <c r="D277" s="109" t="n">
        <v>1444</v>
      </c>
      <c r="E277" s="109" t="n">
        <v>1965</v>
      </c>
      <c r="F277" s="109" t="n">
        <v>1919</v>
      </c>
      <c r="G277" s="109" t="n">
        <v>37</v>
      </c>
      <c r="H277" s="109" t="n">
        <v>0</v>
      </c>
      <c r="I277" s="109" t="n">
        <v>56</v>
      </c>
      <c r="J277" s="109" t="n">
        <v>221</v>
      </c>
      <c r="K277" s="109" t="n">
        <v>207</v>
      </c>
      <c r="L277" s="109" t="n">
        <v>2242</v>
      </c>
      <c r="M277" s="109" t="n">
        <v>747.333333333333</v>
      </c>
    </row>
    <row r="278" ht="13.8" customHeight="1" s="113">
      <c r="A278" s="109" t="inlineStr">
        <is>
          <t>AC04860</t>
        </is>
      </c>
      <c r="B278" s="109" t="inlineStr">
        <is>
          <t>Alinity c</t>
        </is>
      </c>
      <c r="C278" s="109" t="inlineStr">
        <is>
          <t>Uric2</t>
        </is>
      </c>
      <c r="D278" s="109" t="n">
        <v>1444</v>
      </c>
      <c r="E278" s="109" t="n">
        <v>7565</v>
      </c>
      <c r="F278" s="109" t="n">
        <v>6637</v>
      </c>
      <c r="G278" s="109" t="n">
        <v>649</v>
      </c>
      <c r="H278" s="109" t="n">
        <v>0</v>
      </c>
      <c r="I278" s="109" t="n">
        <v>48</v>
      </c>
      <c r="J278" s="109" t="n">
        <v>270</v>
      </c>
      <c r="K278" s="109" t="n">
        <v>262</v>
      </c>
      <c r="L278" s="109" t="n">
        <v>7883</v>
      </c>
      <c r="M278" s="109" t="n">
        <v>2627.66666666667</v>
      </c>
    </row>
    <row r="279" ht="13.8" customHeight="1" s="113">
      <c r="A279" s="109" t="inlineStr">
        <is>
          <t>AC04860</t>
        </is>
      </c>
      <c r="B279" s="109" t="inlineStr">
        <is>
          <t>Alinity c</t>
        </is>
      </c>
      <c r="C279" s="109" t="inlineStr">
        <is>
          <t>Uric2-U</t>
        </is>
      </c>
      <c r="D279" s="109" t="n">
        <v>1446</v>
      </c>
      <c r="E279" s="109" t="n">
        <v>1</v>
      </c>
      <c r="F279" s="109" t="n">
        <v>1</v>
      </c>
      <c r="G279" s="109" t="n">
        <v>0</v>
      </c>
      <c r="H279" s="109" t="n">
        <v>0</v>
      </c>
      <c r="I279" s="109" t="n">
        <v>0</v>
      </c>
      <c r="J279" s="109" t="n">
        <v>260</v>
      </c>
      <c r="K279" s="109" t="n">
        <v>245</v>
      </c>
      <c r="L279" s="109" t="n">
        <v>261</v>
      </c>
      <c r="M279" s="109" t="n">
        <v>87</v>
      </c>
    </row>
    <row r="280" ht="13.8" customHeight="1" s="113">
      <c r="A280" s="109" t="inlineStr">
        <is>
          <t>AC04860</t>
        </is>
      </c>
      <c r="B280" s="109" t="inlineStr">
        <is>
          <t>Alinity c</t>
        </is>
      </c>
      <c r="C280" s="109" t="inlineStr">
        <is>
          <t>Uric2-U</t>
        </is>
      </c>
      <c r="D280" s="109" t="n">
        <v>1446</v>
      </c>
      <c r="E280" s="109" t="n">
        <v>33</v>
      </c>
      <c r="F280" s="109" t="n">
        <v>33</v>
      </c>
      <c r="G280" s="109" t="n">
        <v>1</v>
      </c>
      <c r="H280" s="109" t="n">
        <v>0</v>
      </c>
      <c r="I280" s="109" t="n">
        <v>0</v>
      </c>
      <c r="J280" s="109" t="n">
        <v>188</v>
      </c>
      <c r="K280" s="109" t="n">
        <v>181</v>
      </c>
      <c r="L280" s="109" t="n">
        <v>221</v>
      </c>
      <c r="M280" s="109" t="n">
        <v>73.6666666666667</v>
      </c>
    </row>
    <row r="281" ht="13.8" customHeight="1" s="113">
      <c r="A281" s="109" t="inlineStr">
        <is>
          <t>AC04860</t>
        </is>
      </c>
      <c r="B281" s="109" t="inlineStr">
        <is>
          <t>Alinity c</t>
        </is>
      </c>
      <c r="C281" s="109" t="inlineStr">
        <is>
          <t>Uric2-U</t>
        </is>
      </c>
      <c r="D281" s="109" t="n">
        <v>1446</v>
      </c>
      <c r="E281" s="109" t="n">
        <v>3</v>
      </c>
      <c r="F281" s="109" t="n">
        <v>2</v>
      </c>
      <c r="G281" s="109" t="n">
        <v>0</v>
      </c>
      <c r="H281" s="109" t="n">
        <v>0</v>
      </c>
      <c r="I281" s="109" t="n">
        <v>0</v>
      </c>
      <c r="J281" s="109" t="n">
        <v>247</v>
      </c>
      <c r="K281" s="109" t="n">
        <v>237</v>
      </c>
      <c r="L281" s="109" t="n">
        <v>250</v>
      </c>
      <c r="M281" s="109" t="n">
        <v>83.3333333333333</v>
      </c>
    </row>
    <row r="282" ht="13.8" customHeight="1" s="113">
      <c r="A282" s="109" t="inlineStr">
        <is>
          <t>AC04860</t>
        </is>
      </c>
      <c r="B282" s="109" t="inlineStr">
        <is>
          <t>Alinity c</t>
        </is>
      </c>
      <c r="C282" s="109" t="inlineStr">
        <is>
          <t>Valproic</t>
        </is>
      </c>
      <c r="D282" s="109" t="n">
        <v>1836</v>
      </c>
      <c r="E282" s="109" t="n">
        <v>220</v>
      </c>
      <c r="F282" s="109" t="n">
        <v>218</v>
      </c>
      <c r="G282" s="109" t="n">
        <v>1</v>
      </c>
      <c r="H282" s="109" t="n">
        <v>0</v>
      </c>
      <c r="I282" s="109" t="n">
        <v>60</v>
      </c>
      <c r="J282" s="109" t="n">
        <v>210</v>
      </c>
      <c r="K282" s="109" t="n">
        <v>193</v>
      </c>
      <c r="L282" s="109" t="n">
        <v>490</v>
      </c>
      <c r="M282" s="109" t="n">
        <v>163.333333333333</v>
      </c>
    </row>
    <row r="283" ht="13.8" customHeight="1" s="113">
      <c r="A283" s="109" t="inlineStr">
        <is>
          <t>AC04860</t>
        </is>
      </c>
      <c r="B283" s="109" t="inlineStr">
        <is>
          <t>Alinity c</t>
        </is>
      </c>
      <c r="C283" s="109" t="inlineStr">
        <is>
          <t>Valproic</t>
        </is>
      </c>
      <c r="D283" s="109" t="n">
        <v>1836</v>
      </c>
      <c r="E283" s="109" t="n">
        <v>3</v>
      </c>
      <c r="F283" s="109" t="n">
        <v>3</v>
      </c>
      <c r="G283" s="109" t="n">
        <v>0</v>
      </c>
      <c r="H283" s="109" t="n">
        <v>0</v>
      </c>
      <c r="I283" s="109" t="n">
        <v>12</v>
      </c>
      <c r="J283" s="109" t="n">
        <v>2</v>
      </c>
      <c r="K283" s="109" t="n">
        <v>2</v>
      </c>
      <c r="L283" s="109" t="n">
        <v>17</v>
      </c>
      <c r="M283" s="109" t="n">
        <v>5.66666666666667</v>
      </c>
    </row>
    <row r="284" ht="13.8" customHeight="1" s="113">
      <c r="A284" s="109" t="inlineStr">
        <is>
          <t>AC04860</t>
        </is>
      </c>
      <c r="B284" s="109" t="inlineStr">
        <is>
          <t>Alinity c</t>
        </is>
      </c>
      <c r="C284" s="109" t="inlineStr">
        <is>
          <t>Vancomycin</t>
        </is>
      </c>
      <c r="D284" s="109" t="n">
        <v>1869</v>
      </c>
      <c r="E284" s="109" t="n">
        <v>40</v>
      </c>
      <c r="F284" s="109" t="n">
        <v>37</v>
      </c>
      <c r="G284" s="109" t="n">
        <v>3</v>
      </c>
      <c r="H284" s="109" t="n">
        <v>0</v>
      </c>
      <c r="I284" s="109" t="n">
        <v>72</v>
      </c>
      <c r="J284" s="109" t="n">
        <v>198</v>
      </c>
      <c r="K284" s="109" t="n">
        <v>188</v>
      </c>
      <c r="L284" s="109" t="n">
        <v>310</v>
      </c>
      <c r="M284" s="109" t="n">
        <v>103.333333333333</v>
      </c>
    </row>
    <row r="285" ht="13.8" customHeight="1" s="113">
      <c r="A285" s="109" t="inlineStr">
        <is>
          <t>AI22529</t>
        </is>
      </c>
      <c r="B285" s="109" t="inlineStr">
        <is>
          <t>Alinity i</t>
        </is>
      </c>
      <c r="C285" s="109" t="inlineStr">
        <is>
          <t>Vit D25OH</t>
        </is>
      </c>
      <c r="D285" s="109" t="n">
        <v>797</v>
      </c>
      <c r="E285" s="109" t="n">
        <v>6419</v>
      </c>
      <c r="F285" s="109" t="n">
        <v>5792</v>
      </c>
      <c r="G285" s="109" t="n">
        <v>447</v>
      </c>
      <c r="H285" s="109" t="n">
        <v>0</v>
      </c>
      <c r="I285" s="109" t="n">
        <v>72</v>
      </c>
      <c r="J285" s="109" t="n">
        <v>295</v>
      </c>
      <c r="K285" s="109" t="n">
        <v>222</v>
      </c>
      <c r="L285" s="109" t="n">
        <v>6786</v>
      </c>
      <c r="M285" s="109" t="n">
        <v>2262</v>
      </c>
    </row>
    <row r="286" ht="13.8" customHeight="1" s="113">
      <c r="A286" s="109" t="inlineStr">
        <is>
          <t>AI22529</t>
        </is>
      </c>
      <c r="B286" s="109" t="inlineStr">
        <is>
          <t>Alinity i</t>
        </is>
      </c>
      <c r="C286" s="109" t="inlineStr">
        <is>
          <t>Vit D25OH</t>
        </is>
      </c>
      <c r="D286" s="109" t="n">
        <v>797</v>
      </c>
      <c r="E286" s="109" t="n">
        <v>6160</v>
      </c>
      <c r="F286" s="109" t="n">
        <v>5354</v>
      </c>
      <c r="G286" s="109" t="n">
        <v>537</v>
      </c>
      <c r="H286" s="109" t="n">
        <v>0</v>
      </c>
      <c r="I286" s="109" t="n">
        <v>96</v>
      </c>
      <c r="J286" s="109" t="n">
        <v>276</v>
      </c>
      <c r="K286" s="109" t="n">
        <v>243</v>
      </c>
      <c r="L286" s="109" t="n">
        <v>6532</v>
      </c>
      <c r="M286" s="109" t="n">
        <v>2177.33333333333</v>
      </c>
    </row>
    <row r="287" ht="13.8" customHeight="1" s="113">
      <c r="A287" s="109" t="inlineStr">
        <is>
          <t>AI22529</t>
        </is>
      </c>
      <c r="B287" s="109" t="inlineStr">
        <is>
          <t>Alinity i</t>
        </is>
      </c>
      <c r="C287" s="109" t="inlineStr">
        <is>
          <t>Vit D25OH</t>
        </is>
      </c>
      <c r="D287" s="109" t="n">
        <v>797</v>
      </c>
      <c r="E287" s="109" t="n">
        <v>537</v>
      </c>
      <c r="F287" s="109" t="n">
        <v>534</v>
      </c>
      <c r="G287" s="109" t="n">
        <v>10</v>
      </c>
      <c r="H287" s="109" t="n">
        <v>0</v>
      </c>
      <c r="I287" s="109" t="n">
        <v>48</v>
      </c>
      <c r="J287" s="109" t="n">
        <v>184</v>
      </c>
      <c r="K287" s="109" t="n">
        <v>164</v>
      </c>
      <c r="L287" s="109" t="n">
        <v>769</v>
      </c>
      <c r="M287" s="109" t="n">
        <v>256.333333333333</v>
      </c>
    </row>
    <row r="288" ht="13.8" customHeight="1" s="113">
      <c r="A288" s="109" t="inlineStr">
        <is>
          <t>AI22529</t>
        </is>
      </c>
      <c r="B288" s="109" t="inlineStr">
        <is>
          <t>Alinity i</t>
        </is>
      </c>
      <c r="C288" s="109" t="inlineStr">
        <is>
          <t>VitaminB12</t>
        </is>
      </c>
      <c r="D288" s="109" t="n">
        <v>654</v>
      </c>
      <c r="E288" s="109" t="n">
        <v>175</v>
      </c>
      <c r="F288" s="109" t="n">
        <v>168</v>
      </c>
      <c r="G288" s="109" t="n">
        <v>14</v>
      </c>
      <c r="H288" s="109" t="n">
        <v>3</v>
      </c>
      <c r="I288" s="109" t="n">
        <v>72</v>
      </c>
      <c r="J288" s="109" t="n">
        <v>193</v>
      </c>
      <c r="K288" s="109" t="n">
        <v>185</v>
      </c>
      <c r="L288" s="109" t="n">
        <v>440</v>
      </c>
      <c r="M288" s="109" t="n">
        <v>146.666666666667</v>
      </c>
    </row>
    <row r="289" ht="13.8" customHeight="1" s="113">
      <c r="A289" s="109" t="inlineStr">
        <is>
          <t>AI22529</t>
        </is>
      </c>
      <c r="B289" s="109" t="inlineStr">
        <is>
          <t>Alinity i</t>
        </is>
      </c>
      <c r="C289" s="109" t="inlineStr">
        <is>
          <t>VitaminB12</t>
        </is>
      </c>
      <c r="D289" s="109" t="n">
        <v>654</v>
      </c>
      <c r="E289" s="109" t="n">
        <v>2253</v>
      </c>
      <c r="F289" s="109" t="n">
        <v>1917</v>
      </c>
      <c r="G289" s="109" t="n">
        <v>207</v>
      </c>
      <c r="H289" s="109" t="n">
        <v>34</v>
      </c>
      <c r="I289" s="109" t="n">
        <v>36</v>
      </c>
      <c r="J289" s="109" t="n">
        <v>258</v>
      </c>
      <c r="K289" s="109" t="n">
        <v>196</v>
      </c>
      <c r="L289" s="109" t="n">
        <v>2547</v>
      </c>
      <c r="M289" s="109" t="n">
        <v>849</v>
      </c>
    </row>
    <row r="290" ht="13.8" customHeight="1" s="113">
      <c r="A290" s="109" t="inlineStr">
        <is>
          <t>AI22529</t>
        </is>
      </c>
      <c r="B290" s="109" t="inlineStr">
        <is>
          <t>Alinity i</t>
        </is>
      </c>
      <c r="C290" s="109" t="inlineStr">
        <is>
          <t>VitaminB12</t>
        </is>
      </c>
      <c r="D290" s="109" t="n">
        <v>654</v>
      </c>
      <c r="E290" s="109" t="n">
        <v>2151</v>
      </c>
      <c r="F290" s="109" t="n">
        <v>1832</v>
      </c>
      <c r="G290" s="109" t="n">
        <v>244</v>
      </c>
      <c r="H290" s="109" t="n">
        <v>24</v>
      </c>
      <c r="I290" s="109" t="n">
        <v>228</v>
      </c>
      <c r="J290" s="109" t="n">
        <v>309</v>
      </c>
      <c r="K290" s="109" t="n">
        <v>273</v>
      </c>
      <c r="L290" s="109" t="n">
        <v>2688</v>
      </c>
      <c r="M290" s="109" t="n">
        <v>896</v>
      </c>
    </row>
    <row r="291" ht="13.8" customHeight="1" s="113">
      <c r="A291" s="109" t="inlineStr">
        <is>
          <t>AI22529</t>
        </is>
      </c>
      <c r="B291" s="109" t="inlineStr">
        <is>
          <t>Alinity i</t>
        </is>
      </c>
      <c r="C291" s="109" t="inlineStr">
        <is>
          <t>VitaminB12</t>
        </is>
      </c>
      <c r="D291" s="109" t="n">
        <v>654</v>
      </c>
      <c r="E291" s="109" t="n">
        <v>99</v>
      </c>
      <c r="F291" s="109" t="n">
        <v>84</v>
      </c>
      <c r="G291" s="109" t="n">
        <v>13</v>
      </c>
      <c r="H291" s="109" t="n">
        <v>3</v>
      </c>
      <c r="I291" s="109" t="n">
        <v>60</v>
      </c>
      <c r="J291" s="109" t="n">
        <v>99</v>
      </c>
      <c r="K291" s="109" t="n">
        <v>89</v>
      </c>
      <c r="L291" s="109" t="n">
        <v>258</v>
      </c>
      <c r="M291" s="109" t="n">
        <v>86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Roman,Normale"&amp;12 &amp;Kffffff&amp;A</oddHeader>
    <oddFooter>&amp;C&amp;"Times New Roman,Normale"&amp;12 &amp;KffffffPagina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09" t="inlineStr">
        <is>
          <t>Codice</t>
        </is>
      </c>
      <c r="B1" s="109" t="inlineStr">
        <is>
          <t>Descrizione</t>
        </is>
      </c>
      <c r="C1" s="109" t="inlineStr">
        <is>
          <t>Kit disponibili</t>
        </is>
      </c>
      <c r="D1" s="109" t="inlineStr">
        <is>
          <t>Scadenza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0"/>
  <sheetViews>
    <sheetView workbookViewId="0">
      <selection activeCell="A1" sqref="A1"/>
    </sheetView>
  </sheetViews>
  <sheetFormatPr baseColWidth="8" defaultRowHeight="15"/>
  <sheetData>
    <row r="1">
      <c r="A1" s="212" t="inlineStr">
        <is>
          <t>Codice</t>
        </is>
      </c>
      <c r="B1" s="212" t="inlineStr">
        <is>
          <t>Descrizione</t>
        </is>
      </c>
      <c r="C1" s="212" t="inlineStr">
        <is>
          <t>Kit/mese</t>
        </is>
      </c>
      <c r="D1" s="212" t="inlineStr">
        <is>
          <t>Kit disponibili</t>
        </is>
      </c>
      <c r="E1" s="212" t="inlineStr">
        <is>
          <t>Copertura (mesi)</t>
        </is>
      </c>
      <c r="F1" s="212" t="inlineStr">
        <is>
          <t>Kit da ordinare</t>
        </is>
      </c>
    </row>
    <row r="2">
      <c r="A2" s="109">
        <f>DATI!A2</f>
        <v/>
      </c>
      <c r="B2" s="109">
        <f>DATI!B2</f>
        <v/>
      </c>
      <c r="C2" s="109">
        <f>DATI!H2</f>
        <v/>
      </c>
      <c r="D2" s="109">
        <f>SE.ERRORE(CERCA.X(A2;GIACENZA_REALE!A:A;GIACENZA_REALE!C:C);0)</f>
        <v/>
      </c>
      <c r="E2" s="109">
        <f>SE(C2=0;"";D2/C2)</f>
        <v/>
      </c>
      <c r="F2" s="109">
        <f>MAX(0;ARROTONDA.ECCESSO(C2-D2;1))</f>
        <v/>
      </c>
    </row>
    <row r="3">
      <c r="A3" s="109">
        <f>DATI!A3</f>
        <v/>
      </c>
      <c r="B3" s="109">
        <f>DATI!B3</f>
        <v/>
      </c>
      <c r="C3" s="109">
        <f>DATI!H3</f>
        <v/>
      </c>
      <c r="D3" s="109">
        <f>SE.ERRORE(CERCA.X(A3;GIACENZA_REALE!A:A;GIACENZA_REALE!C:C);0)</f>
        <v/>
      </c>
      <c r="E3" s="109">
        <f>SE(C3=0;"";D3/C3)</f>
        <v/>
      </c>
      <c r="F3" s="109">
        <f>MAX(0;ARROTONDA.ECCESSO(C3-D3;1))</f>
        <v/>
      </c>
    </row>
    <row r="4">
      <c r="A4" s="109">
        <f>DATI!A4</f>
        <v/>
      </c>
      <c r="B4" s="109">
        <f>DATI!B4</f>
        <v/>
      </c>
      <c r="C4" s="109">
        <f>DATI!H4</f>
        <v/>
      </c>
      <c r="D4" s="109">
        <f>SE.ERRORE(CERCA.X(A4;GIACENZA_REALE!A:A;GIACENZA_REALE!C:C);0)</f>
        <v/>
      </c>
      <c r="E4" s="109">
        <f>SE(C4=0;"";D4/C4)</f>
        <v/>
      </c>
      <c r="F4" s="109">
        <f>MAX(0;ARROTONDA.ECCESSO(C4-D4;1))</f>
        <v/>
      </c>
    </row>
    <row r="5">
      <c r="A5" s="109">
        <f>DATI!A5</f>
        <v/>
      </c>
      <c r="B5" s="109">
        <f>DATI!B5</f>
        <v/>
      </c>
      <c r="C5" s="109">
        <f>DATI!H5</f>
        <v/>
      </c>
      <c r="D5" s="109">
        <f>SE.ERRORE(CERCA.X(A5;GIACENZA_REALE!A:A;GIACENZA_REALE!C:C);0)</f>
        <v/>
      </c>
      <c r="E5" s="109">
        <f>SE(C5=0;"";D5/C5)</f>
        <v/>
      </c>
      <c r="F5" s="109">
        <f>MAX(0;ARROTONDA.ECCESSO(C5-D5;1))</f>
        <v/>
      </c>
    </row>
    <row r="6">
      <c r="A6" s="109">
        <f>DATI!A6</f>
        <v/>
      </c>
      <c r="B6" s="109">
        <f>DATI!B6</f>
        <v/>
      </c>
      <c r="C6" s="109">
        <f>DATI!H6</f>
        <v/>
      </c>
      <c r="D6" s="109">
        <f>SE.ERRORE(CERCA.X(A6;GIACENZA_REALE!A:A;GIACENZA_REALE!C:C);0)</f>
        <v/>
      </c>
      <c r="E6" s="109">
        <f>SE(C6=0;"";D6/C6)</f>
        <v/>
      </c>
      <c r="F6" s="109">
        <f>MAX(0;ARROTONDA.ECCESSO(C6-D6;1))</f>
        <v/>
      </c>
    </row>
    <row r="7">
      <c r="A7" s="109">
        <f>DATI!A7</f>
        <v/>
      </c>
      <c r="B7" s="109">
        <f>DATI!B7</f>
        <v/>
      </c>
      <c r="C7" s="109">
        <f>DATI!H7</f>
        <v/>
      </c>
      <c r="D7" s="109">
        <f>SE.ERRORE(CERCA.X(A7;GIACENZA_REALE!A:A;GIACENZA_REALE!C:C);0)</f>
        <v/>
      </c>
      <c r="E7" s="109">
        <f>SE(C7=0;"";D7/C7)</f>
        <v/>
      </c>
      <c r="F7" s="109">
        <f>MAX(0;ARROTONDA.ECCESSO(C7-D7;1))</f>
        <v/>
      </c>
    </row>
    <row r="8">
      <c r="A8" s="109">
        <f>DATI!A8</f>
        <v/>
      </c>
      <c r="B8" s="109">
        <f>DATI!B8</f>
        <v/>
      </c>
      <c r="C8" s="109">
        <f>DATI!H8</f>
        <v/>
      </c>
      <c r="D8" s="109">
        <f>SE.ERRORE(CERCA.X(A8;GIACENZA_REALE!A:A;GIACENZA_REALE!C:C);0)</f>
        <v/>
      </c>
      <c r="E8" s="109">
        <f>SE(C8=0;"";D8/C8)</f>
        <v/>
      </c>
      <c r="F8" s="109">
        <f>MAX(0;ARROTONDA.ECCESSO(C8-D8;1))</f>
        <v/>
      </c>
    </row>
    <row r="9">
      <c r="A9" s="109">
        <f>DATI!A9</f>
        <v/>
      </c>
      <c r="B9" s="109">
        <f>DATI!B9</f>
        <v/>
      </c>
      <c r="C9" s="109">
        <f>DATI!H9</f>
        <v/>
      </c>
      <c r="D9" s="109">
        <f>SE.ERRORE(CERCA.X(A9;GIACENZA_REALE!A:A;GIACENZA_REALE!C:C);0)</f>
        <v/>
      </c>
      <c r="E9" s="109">
        <f>SE(C9=0;"";D9/C9)</f>
        <v/>
      </c>
      <c r="F9" s="109">
        <f>MAX(0;ARROTONDA.ECCESSO(C9-D9;1))</f>
        <v/>
      </c>
    </row>
    <row r="10">
      <c r="A10" s="109">
        <f>DATI!A10</f>
        <v/>
      </c>
      <c r="B10" s="109">
        <f>DATI!B10</f>
        <v/>
      </c>
      <c r="C10" s="109">
        <f>DATI!H10</f>
        <v/>
      </c>
      <c r="D10" s="109">
        <f>SE.ERRORE(CERCA.X(A10;GIACENZA_REALE!A:A;GIACENZA_REALE!C:C);0)</f>
        <v/>
      </c>
      <c r="E10" s="109">
        <f>SE(C10=0;"";D10/C10)</f>
        <v/>
      </c>
      <c r="F10" s="109">
        <f>MAX(0;ARROTONDA.ECCESSO(C10-D10;1))</f>
        <v/>
      </c>
    </row>
    <row r="11">
      <c r="A11" s="109">
        <f>DATI!A11</f>
        <v/>
      </c>
      <c r="B11" s="109">
        <f>DATI!B11</f>
        <v/>
      </c>
      <c r="C11" s="109">
        <f>DATI!H11</f>
        <v/>
      </c>
      <c r="D11" s="109">
        <f>SE.ERRORE(CERCA.X(A11;GIACENZA_REALE!A:A;GIACENZA_REALE!C:C);0)</f>
        <v/>
      </c>
      <c r="E11" s="109">
        <f>SE(C11=0;"";D11/C11)</f>
        <v/>
      </c>
      <c r="F11" s="109">
        <f>MAX(0;ARROTONDA.ECCESSO(C11-D11;1))</f>
        <v/>
      </c>
    </row>
    <row r="12">
      <c r="A12" s="109">
        <f>DATI!A12</f>
        <v/>
      </c>
      <c r="B12" s="109">
        <f>DATI!B12</f>
        <v/>
      </c>
      <c r="C12" s="109">
        <f>DATI!H12</f>
        <v/>
      </c>
      <c r="D12" s="109">
        <f>SE.ERRORE(CERCA.X(A12;GIACENZA_REALE!A:A;GIACENZA_REALE!C:C);0)</f>
        <v/>
      </c>
      <c r="E12" s="109">
        <f>SE(C12=0;"";D12/C12)</f>
        <v/>
      </c>
      <c r="F12" s="109">
        <f>MAX(0;ARROTONDA.ECCESSO(C12-D12;1))</f>
        <v/>
      </c>
    </row>
    <row r="13">
      <c r="A13" s="109">
        <f>DATI!A13</f>
        <v/>
      </c>
      <c r="B13" s="109">
        <f>DATI!B13</f>
        <v/>
      </c>
      <c r="C13" s="109">
        <f>DATI!H13</f>
        <v/>
      </c>
      <c r="D13" s="109">
        <f>SE.ERRORE(CERCA.X(A13;GIACENZA_REALE!A:A;GIACENZA_REALE!C:C);0)</f>
        <v/>
      </c>
      <c r="E13" s="109">
        <f>SE(C13=0;"";D13/C13)</f>
        <v/>
      </c>
      <c r="F13" s="109">
        <f>MAX(0;ARROTONDA.ECCESSO(C13-D13;1))</f>
        <v/>
      </c>
    </row>
    <row r="14">
      <c r="A14" s="109">
        <f>DATI!A14</f>
        <v/>
      </c>
      <c r="B14" s="109">
        <f>DATI!B14</f>
        <v/>
      </c>
      <c r="C14" s="109">
        <f>DATI!H14</f>
        <v/>
      </c>
      <c r="D14" s="109">
        <f>SE.ERRORE(CERCA.X(A14;GIACENZA_REALE!A:A;GIACENZA_REALE!C:C);0)</f>
        <v/>
      </c>
      <c r="E14" s="109">
        <f>SE(C14=0;"";D14/C14)</f>
        <v/>
      </c>
      <c r="F14" s="109">
        <f>MAX(0;ARROTONDA.ECCESSO(C14-D14;1))</f>
        <v/>
      </c>
    </row>
    <row r="15">
      <c r="A15" s="109">
        <f>DATI!A15</f>
        <v/>
      </c>
      <c r="B15" s="109">
        <f>DATI!B15</f>
        <v/>
      </c>
      <c r="C15" s="109">
        <f>DATI!H15</f>
        <v/>
      </c>
      <c r="D15" s="109">
        <f>SE.ERRORE(CERCA.X(A15;GIACENZA_REALE!A:A;GIACENZA_REALE!C:C);0)</f>
        <v/>
      </c>
      <c r="E15" s="109">
        <f>SE(C15=0;"";D15/C15)</f>
        <v/>
      </c>
      <c r="F15" s="109">
        <f>MAX(0;ARROTONDA.ECCESSO(C15-D15;1))</f>
        <v/>
      </c>
    </row>
    <row r="16">
      <c r="A16" s="109">
        <f>DATI!A16</f>
        <v/>
      </c>
      <c r="B16" s="109">
        <f>DATI!B16</f>
        <v/>
      </c>
      <c r="C16" s="109">
        <f>DATI!H16</f>
        <v/>
      </c>
      <c r="D16" s="109">
        <f>SE.ERRORE(CERCA.X(A16;GIACENZA_REALE!A:A;GIACENZA_REALE!C:C);0)</f>
        <v/>
      </c>
      <c r="E16" s="109">
        <f>SE(C16=0;"";D16/C16)</f>
        <v/>
      </c>
      <c r="F16" s="109">
        <f>MAX(0;ARROTONDA.ECCESSO(C16-D16;1))</f>
        <v/>
      </c>
    </row>
    <row r="17">
      <c r="A17" s="109">
        <f>DATI!A17</f>
        <v/>
      </c>
      <c r="B17" s="109">
        <f>DATI!B17</f>
        <v/>
      </c>
      <c r="C17" s="109">
        <f>DATI!H17</f>
        <v/>
      </c>
      <c r="D17" s="109">
        <f>SE.ERRORE(CERCA.X(A17;GIACENZA_REALE!A:A;GIACENZA_REALE!C:C);0)</f>
        <v/>
      </c>
      <c r="E17" s="109">
        <f>SE(C17=0;"";D17/C17)</f>
        <v/>
      </c>
      <c r="F17" s="109">
        <f>MAX(0;ARROTONDA.ECCESSO(C17-D17;1))</f>
        <v/>
      </c>
    </row>
    <row r="18">
      <c r="A18" s="109">
        <f>DATI!A18</f>
        <v/>
      </c>
      <c r="B18" s="109">
        <f>DATI!B18</f>
        <v/>
      </c>
      <c r="C18" s="109">
        <f>DATI!H18</f>
        <v/>
      </c>
      <c r="D18" s="109">
        <f>SE.ERRORE(CERCA.X(A18;GIACENZA_REALE!A:A;GIACENZA_REALE!C:C);0)</f>
        <v/>
      </c>
      <c r="E18" s="109">
        <f>SE(C18=0;"";D18/C18)</f>
        <v/>
      </c>
      <c r="F18" s="109">
        <f>MAX(0;ARROTONDA.ECCESSO(C18-D18;1))</f>
        <v/>
      </c>
    </row>
    <row r="19">
      <c r="A19" s="109">
        <f>DATI!A19</f>
        <v/>
      </c>
      <c r="B19" s="109">
        <f>DATI!B19</f>
        <v/>
      </c>
      <c r="C19" s="109">
        <f>DATI!H19</f>
        <v/>
      </c>
      <c r="D19" s="109">
        <f>SE.ERRORE(CERCA.X(A19;GIACENZA_REALE!A:A;GIACENZA_REALE!C:C);0)</f>
        <v/>
      </c>
      <c r="E19" s="109">
        <f>SE(C19=0;"";D19/C19)</f>
        <v/>
      </c>
      <c r="F19" s="109">
        <f>MAX(0;ARROTONDA.ECCESSO(C19-D19;1))</f>
        <v/>
      </c>
    </row>
    <row r="20">
      <c r="A20" s="109">
        <f>DATI!A20</f>
        <v/>
      </c>
      <c r="B20" s="109">
        <f>DATI!B20</f>
        <v/>
      </c>
      <c r="C20" s="109">
        <f>DATI!H20</f>
        <v/>
      </c>
      <c r="D20" s="109">
        <f>SE.ERRORE(CERCA.X(A20;GIACENZA_REALE!A:A;GIACENZA_REALE!C:C);0)</f>
        <v/>
      </c>
      <c r="E20" s="109">
        <f>SE(C20=0;"";D20/C20)</f>
        <v/>
      </c>
      <c r="F20" s="109">
        <f>MAX(0;ARROTONDA.ECCESSO(C20-D20;1))</f>
        <v/>
      </c>
    </row>
    <row r="21">
      <c r="A21" s="109">
        <f>DATI!A21</f>
        <v/>
      </c>
      <c r="B21" s="109">
        <f>DATI!B21</f>
        <v/>
      </c>
      <c r="C21" s="109">
        <f>DATI!H21</f>
        <v/>
      </c>
      <c r="D21" s="109">
        <f>SE.ERRORE(CERCA.X(A21;GIACENZA_REALE!A:A;GIACENZA_REALE!C:C);0)</f>
        <v/>
      </c>
      <c r="E21" s="109">
        <f>SE(C21=0;"";D21/C21)</f>
        <v/>
      </c>
      <c r="F21" s="109">
        <f>MAX(0;ARROTONDA.ECCESSO(C21-D21;1))</f>
        <v/>
      </c>
    </row>
    <row r="22">
      <c r="A22" s="109">
        <f>DATI!A22</f>
        <v/>
      </c>
      <c r="B22" s="109">
        <f>DATI!B22</f>
        <v/>
      </c>
      <c r="C22" s="109">
        <f>DATI!H22</f>
        <v/>
      </c>
      <c r="D22" s="109">
        <f>SE.ERRORE(CERCA.X(A22;GIACENZA_REALE!A:A;GIACENZA_REALE!C:C);0)</f>
        <v/>
      </c>
      <c r="E22" s="109">
        <f>SE(C22=0;"";D22/C22)</f>
        <v/>
      </c>
      <c r="F22" s="109">
        <f>MAX(0;ARROTONDA.ECCESSO(C22-D22;1))</f>
        <v/>
      </c>
    </row>
    <row r="23">
      <c r="A23" s="109">
        <f>DATI!A23</f>
        <v/>
      </c>
      <c r="B23" s="109">
        <f>DATI!B23</f>
        <v/>
      </c>
      <c r="C23" s="109">
        <f>DATI!H23</f>
        <v/>
      </c>
      <c r="D23" s="109">
        <f>SE.ERRORE(CERCA.X(A23;GIACENZA_REALE!A:A;GIACENZA_REALE!C:C);0)</f>
        <v/>
      </c>
      <c r="E23" s="109">
        <f>SE(C23=0;"";D23/C23)</f>
        <v/>
      </c>
      <c r="F23" s="109">
        <f>MAX(0;ARROTONDA.ECCESSO(C23-D23;1))</f>
        <v/>
      </c>
    </row>
    <row r="24">
      <c r="A24" s="109">
        <f>DATI!A24</f>
        <v/>
      </c>
      <c r="B24" s="109">
        <f>DATI!B24</f>
        <v/>
      </c>
      <c r="C24" s="109">
        <f>DATI!H24</f>
        <v/>
      </c>
      <c r="D24" s="109">
        <f>SE.ERRORE(CERCA.X(A24;GIACENZA_REALE!A:A;GIACENZA_REALE!C:C);0)</f>
        <v/>
      </c>
      <c r="E24" s="109">
        <f>SE(C24=0;"";D24/C24)</f>
        <v/>
      </c>
      <c r="F24" s="109">
        <f>MAX(0;ARROTONDA.ECCESSO(C24-D24;1))</f>
        <v/>
      </c>
    </row>
    <row r="25">
      <c r="A25" s="109">
        <f>DATI!A25</f>
        <v/>
      </c>
      <c r="B25" s="109">
        <f>DATI!B25</f>
        <v/>
      </c>
      <c r="C25" s="109">
        <f>DATI!H25</f>
        <v/>
      </c>
      <c r="D25" s="109">
        <f>SE.ERRORE(CERCA.X(A25;GIACENZA_REALE!A:A;GIACENZA_REALE!C:C);0)</f>
        <v/>
      </c>
      <c r="E25" s="109">
        <f>SE(C25=0;"";D25/C25)</f>
        <v/>
      </c>
      <c r="F25" s="109">
        <f>MAX(0;ARROTONDA.ECCESSO(C25-D25;1))</f>
        <v/>
      </c>
    </row>
    <row r="26">
      <c r="A26" s="109">
        <f>DATI!A26</f>
        <v/>
      </c>
      <c r="B26" s="109">
        <f>DATI!B26</f>
        <v/>
      </c>
      <c r="C26" s="109">
        <f>DATI!H26</f>
        <v/>
      </c>
      <c r="D26" s="109">
        <f>SE.ERRORE(CERCA.X(A26;GIACENZA_REALE!A:A;GIACENZA_REALE!C:C);0)</f>
        <v/>
      </c>
      <c r="E26" s="109">
        <f>SE(C26=0;"";D26/C26)</f>
        <v/>
      </c>
      <c r="F26" s="109">
        <f>MAX(0;ARROTONDA.ECCESSO(C26-D26;1))</f>
        <v/>
      </c>
    </row>
    <row r="27">
      <c r="A27" s="109">
        <f>DATI!A27</f>
        <v/>
      </c>
      <c r="B27" s="109">
        <f>DATI!B27</f>
        <v/>
      </c>
      <c r="C27" s="109">
        <f>DATI!H27</f>
        <v/>
      </c>
      <c r="D27" s="109">
        <f>SE.ERRORE(CERCA.X(A27;GIACENZA_REALE!A:A;GIACENZA_REALE!C:C);0)</f>
        <v/>
      </c>
      <c r="E27" s="109">
        <f>SE(C27=0;"";D27/C27)</f>
        <v/>
      </c>
      <c r="F27" s="109">
        <f>MAX(0;ARROTONDA.ECCESSO(C27-D27;1))</f>
        <v/>
      </c>
    </row>
    <row r="28">
      <c r="A28" s="109">
        <f>DATI!A28</f>
        <v/>
      </c>
      <c r="B28" s="109">
        <f>DATI!B28</f>
        <v/>
      </c>
      <c r="C28" s="109">
        <f>DATI!H28</f>
        <v/>
      </c>
      <c r="D28" s="109">
        <f>SE.ERRORE(CERCA.X(A28;GIACENZA_REALE!A:A;GIACENZA_REALE!C:C);0)</f>
        <v/>
      </c>
      <c r="E28" s="109">
        <f>SE(C28=0;"";D28/C28)</f>
        <v/>
      </c>
      <c r="F28" s="109">
        <f>MAX(0;ARROTONDA.ECCESSO(C28-D28;1))</f>
        <v/>
      </c>
    </row>
    <row r="29">
      <c r="A29" s="109">
        <f>DATI!A29</f>
        <v/>
      </c>
      <c r="B29" s="109">
        <f>DATI!B29</f>
        <v/>
      </c>
      <c r="C29" s="109">
        <f>DATI!H29</f>
        <v/>
      </c>
      <c r="D29" s="109">
        <f>SE.ERRORE(CERCA.X(A29;GIACENZA_REALE!A:A;GIACENZA_REALE!C:C);0)</f>
        <v/>
      </c>
      <c r="E29" s="109">
        <f>SE(C29=0;"";D29/C29)</f>
        <v/>
      </c>
      <c r="F29" s="109">
        <f>MAX(0;ARROTONDA.ECCESSO(C29-D29;1))</f>
        <v/>
      </c>
    </row>
    <row r="30">
      <c r="A30" s="109">
        <f>DATI!A30</f>
        <v/>
      </c>
      <c r="B30" s="109">
        <f>DATI!B30</f>
        <v/>
      </c>
      <c r="C30" s="109">
        <f>DATI!H30</f>
        <v/>
      </c>
      <c r="D30" s="109">
        <f>SE.ERRORE(CERCA.X(A30;GIACENZA_REALE!A:A;GIACENZA_REALE!C:C);0)</f>
        <v/>
      </c>
      <c r="E30" s="109">
        <f>SE(C30=0;"";D30/C30)</f>
        <v/>
      </c>
      <c r="F30" s="109">
        <f>MAX(0;ARROTONDA.ECCESSO(C30-D30;1))</f>
        <v/>
      </c>
    </row>
    <row r="31">
      <c r="A31" s="109">
        <f>DATI!A31</f>
        <v/>
      </c>
      <c r="B31" s="109">
        <f>DATI!B31</f>
        <v/>
      </c>
      <c r="C31" s="109">
        <f>DATI!H31</f>
        <v/>
      </c>
      <c r="D31" s="109">
        <f>SE.ERRORE(CERCA.X(A31;GIACENZA_REALE!A:A;GIACENZA_REALE!C:C);0)</f>
        <v/>
      </c>
      <c r="E31" s="109">
        <f>SE(C31=0;"";D31/C31)</f>
        <v/>
      </c>
      <c r="F31" s="109">
        <f>MAX(0;ARROTONDA.ECCESSO(C31-D31;1))</f>
        <v/>
      </c>
    </row>
    <row r="32">
      <c r="A32" s="109">
        <f>DATI!A32</f>
        <v/>
      </c>
      <c r="B32" s="109">
        <f>DATI!B32</f>
        <v/>
      </c>
      <c r="C32" s="109">
        <f>DATI!H32</f>
        <v/>
      </c>
      <c r="D32" s="109">
        <f>SE.ERRORE(CERCA.X(A32;GIACENZA_REALE!A:A;GIACENZA_REALE!C:C);0)</f>
        <v/>
      </c>
      <c r="E32" s="109">
        <f>SE(C32=0;"";D32/C32)</f>
        <v/>
      </c>
      <c r="F32" s="109">
        <f>MAX(0;ARROTONDA.ECCESSO(C32-D32;1))</f>
        <v/>
      </c>
    </row>
    <row r="33">
      <c r="A33" s="109">
        <f>DATI!A33</f>
        <v/>
      </c>
      <c r="B33" s="109">
        <f>DATI!B33</f>
        <v/>
      </c>
      <c r="C33" s="109">
        <f>DATI!H33</f>
        <v/>
      </c>
      <c r="D33" s="109">
        <f>SE.ERRORE(CERCA.X(A33;GIACENZA_REALE!A:A;GIACENZA_REALE!C:C);0)</f>
        <v/>
      </c>
      <c r="E33" s="109">
        <f>SE(C33=0;"";D33/C33)</f>
        <v/>
      </c>
      <c r="F33" s="109">
        <f>MAX(0;ARROTONDA.ECCESSO(C33-D33;1))</f>
        <v/>
      </c>
    </row>
    <row r="34">
      <c r="A34" s="109">
        <f>DATI!A34</f>
        <v/>
      </c>
      <c r="B34" s="109">
        <f>DATI!B34</f>
        <v/>
      </c>
      <c r="C34" s="109">
        <f>DATI!H34</f>
        <v/>
      </c>
      <c r="D34" s="109">
        <f>SE.ERRORE(CERCA.X(A34;GIACENZA_REALE!A:A;GIACENZA_REALE!C:C);0)</f>
        <v/>
      </c>
      <c r="E34" s="109">
        <f>SE(C34=0;"";D34/C34)</f>
        <v/>
      </c>
      <c r="F34" s="109">
        <f>MAX(0;ARROTONDA.ECCESSO(C34-D34;1))</f>
        <v/>
      </c>
    </row>
    <row r="35">
      <c r="A35" s="109">
        <f>DATI!A35</f>
        <v/>
      </c>
      <c r="B35" s="109">
        <f>DATI!B35</f>
        <v/>
      </c>
      <c r="C35" s="109">
        <f>DATI!H35</f>
        <v/>
      </c>
      <c r="D35" s="109">
        <f>SE.ERRORE(CERCA.X(A35;GIACENZA_REALE!A:A;GIACENZA_REALE!C:C);0)</f>
        <v/>
      </c>
      <c r="E35" s="109">
        <f>SE(C35=0;"";D35/C35)</f>
        <v/>
      </c>
      <c r="F35" s="109">
        <f>MAX(0;ARROTONDA.ECCESSO(C35-D35;1))</f>
        <v/>
      </c>
    </row>
    <row r="36">
      <c r="A36" s="109">
        <f>DATI!A36</f>
        <v/>
      </c>
      <c r="B36" s="109">
        <f>DATI!B36</f>
        <v/>
      </c>
      <c r="C36" s="109">
        <f>DATI!H36</f>
        <v/>
      </c>
      <c r="D36" s="109">
        <f>SE.ERRORE(CERCA.X(A36;GIACENZA_REALE!A:A;GIACENZA_REALE!C:C);0)</f>
        <v/>
      </c>
      <c r="E36" s="109">
        <f>SE(C36=0;"";D36/C36)</f>
        <v/>
      </c>
      <c r="F36" s="109">
        <f>MAX(0;ARROTONDA.ECCESSO(C36-D36;1))</f>
        <v/>
      </c>
    </row>
    <row r="37">
      <c r="A37" s="109">
        <f>DATI!A37</f>
        <v/>
      </c>
      <c r="B37" s="109">
        <f>DATI!B37</f>
        <v/>
      </c>
      <c r="C37" s="109">
        <f>DATI!H37</f>
        <v/>
      </c>
      <c r="D37" s="109">
        <f>SE.ERRORE(CERCA.X(A37;GIACENZA_REALE!A:A;GIACENZA_REALE!C:C);0)</f>
        <v/>
      </c>
      <c r="E37" s="109">
        <f>SE(C37=0;"";D37/C37)</f>
        <v/>
      </c>
      <c r="F37" s="109">
        <f>MAX(0;ARROTONDA.ECCESSO(C37-D37;1))</f>
        <v/>
      </c>
    </row>
    <row r="38">
      <c r="A38" s="109">
        <f>DATI!A38</f>
        <v/>
      </c>
      <c r="B38" s="109">
        <f>DATI!B38</f>
        <v/>
      </c>
      <c r="C38" s="109">
        <f>DATI!H38</f>
        <v/>
      </c>
      <c r="D38" s="109">
        <f>SE.ERRORE(CERCA.X(A38;GIACENZA_REALE!A:A;GIACENZA_REALE!C:C);0)</f>
        <v/>
      </c>
      <c r="E38" s="109">
        <f>SE(C38=0;"";D38/C38)</f>
        <v/>
      </c>
      <c r="F38" s="109">
        <f>MAX(0;ARROTONDA.ECCESSO(C38-D38;1))</f>
        <v/>
      </c>
    </row>
    <row r="39">
      <c r="A39" s="109">
        <f>DATI!A39</f>
        <v/>
      </c>
      <c r="B39" s="109">
        <f>DATI!B39</f>
        <v/>
      </c>
      <c r="C39" s="109">
        <f>DATI!H39</f>
        <v/>
      </c>
      <c r="D39" s="109">
        <f>SE.ERRORE(CERCA.X(A39;GIACENZA_REALE!A:A;GIACENZA_REALE!C:C);0)</f>
        <v/>
      </c>
      <c r="E39" s="109">
        <f>SE(C39=0;"";D39/C39)</f>
        <v/>
      </c>
      <c r="F39" s="109">
        <f>MAX(0;ARROTONDA.ECCESSO(C39-D39;1))</f>
        <v/>
      </c>
    </row>
    <row r="40">
      <c r="A40" s="109">
        <f>DATI!A40</f>
        <v/>
      </c>
      <c r="B40" s="109">
        <f>DATI!B40</f>
        <v/>
      </c>
      <c r="C40" s="109">
        <f>DATI!H40</f>
        <v/>
      </c>
      <c r="D40" s="109">
        <f>SE.ERRORE(CERCA.X(A40;GIACENZA_REALE!A:A;GIACENZA_REALE!C:C);0)</f>
        <v/>
      </c>
      <c r="E40" s="109">
        <f>SE(C40=0;"";D40/C40)</f>
        <v/>
      </c>
      <c r="F40" s="109">
        <f>MAX(0;ARROTONDA.ECCESSO(C40-D40;1))</f>
        <v/>
      </c>
    </row>
    <row r="41">
      <c r="A41" s="109">
        <f>DATI!A41</f>
        <v/>
      </c>
      <c r="B41" s="109">
        <f>DATI!B41</f>
        <v/>
      </c>
      <c r="C41" s="109">
        <f>DATI!H41</f>
        <v/>
      </c>
      <c r="D41" s="109">
        <f>SE.ERRORE(CERCA.X(A41;GIACENZA_REALE!A:A;GIACENZA_REALE!C:C);0)</f>
        <v/>
      </c>
      <c r="E41" s="109">
        <f>SE(C41=0;"";D41/C41)</f>
        <v/>
      </c>
      <c r="F41" s="109">
        <f>MAX(0;ARROTONDA.ECCESSO(C41-D41;1))</f>
        <v/>
      </c>
    </row>
    <row r="42">
      <c r="A42" s="109">
        <f>DATI!A42</f>
        <v/>
      </c>
      <c r="B42" s="109">
        <f>DATI!B42</f>
        <v/>
      </c>
      <c r="C42" s="109">
        <f>DATI!H42</f>
        <v/>
      </c>
      <c r="D42" s="109">
        <f>SE.ERRORE(CERCA.X(A42;GIACENZA_REALE!A:A;GIACENZA_REALE!C:C);0)</f>
        <v/>
      </c>
      <c r="E42" s="109">
        <f>SE(C42=0;"";D42/C42)</f>
        <v/>
      </c>
      <c r="F42" s="109">
        <f>MAX(0;ARROTONDA.ECCESSO(C42-D42;1))</f>
        <v/>
      </c>
    </row>
    <row r="43">
      <c r="A43" s="109">
        <f>DATI!A43</f>
        <v/>
      </c>
      <c r="B43" s="109">
        <f>DATI!B43</f>
        <v/>
      </c>
      <c r="C43" s="109">
        <f>DATI!H43</f>
        <v/>
      </c>
      <c r="D43" s="109">
        <f>SE.ERRORE(CERCA.X(A43;GIACENZA_REALE!A:A;GIACENZA_REALE!C:C);0)</f>
        <v/>
      </c>
      <c r="E43" s="109">
        <f>SE(C43=0;"";D43/C43)</f>
        <v/>
      </c>
      <c r="F43" s="109">
        <f>MAX(0;ARROTONDA.ECCESSO(C43-D43;1))</f>
        <v/>
      </c>
    </row>
    <row r="44">
      <c r="A44" s="109">
        <f>DATI!A44</f>
        <v/>
      </c>
      <c r="B44" s="109">
        <f>DATI!B44</f>
        <v/>
      </c>
      <c r="C44" s="109">
        <f>DATI!H44</f>
        <v/>
      </c>
      <c r="D44" s="109">
        <f>SE.ERRORE(CERCA.X(A44;GIACENZA_REALE!A:A;GIACENZA_REALE!C:C);0)</f>
        <v/>
      </c>
      <c r="E44" s="109">
        <f>SE(C44=0;"";D44/C44)</f>
        <v/>
      </c>
      <c r="F44" s="109">
        <f>MAX(0;ARROTONDA.ECCESSO(C44-D44;1))</f>
        <v/>
      </c>
    </row>
    <row r="45">
      <c r="A45" s="109">
        <f>DATI!A45</f>
        <v/>
      </c>
      <c r="B45" s="109">
        <f>DATI!B45</f>
        <v/>
      </c>
      <c r="C45" s="109">
        <f>DATI!H45</f>
        <v/>
      </c>
      <c r="D45" s="109">
        <f>SE.ERRORE(CERCA.X(A45;GIACENZA_REALE!A:A;GIACENZA_REALE!C:C);0)</f>
        <v/>
      </c>
      <c r="E45" s="109">
        <f>SE(C45=0;"";D45/C45)</f>
        <v/>
      </c>
      <c r="F45" s="109">
        <f>MAX(0;ARROTONDA.ECCESSO(C45-D45;1))</f>
        <v/>
      </c>
    </row>
    <row r="46">
      <c r="A46" s="109">
        <f>DATI!A46</f>
        <v/>
      </c>
      <c r="B46" s="109">
        <f>DATI!B46</f>
        <v/>
      </c>
      <c r="C46" s="109">
        <f>DATI!H46</f>
        <v/>
      </c>
      <c r="D46" s="109">
        <f>SE.ERRORE(CERCA.X(A46;GIACENZA_REALE!A:A;GIACENZA_REALE!C:C);0)</f>
        <v/>
      </c>
      <c r="E46" s="109">
        <f>SE(C46=0;"";D46/C46)</f>
        <v/>
      </c>
      <c r="F46" s="109">
        <f>MAX(0;ARROTONDA.ECCESSO(C46-D46;1))</f>
        <v/>
      </c>
    </row>
    <row r="47">
      <c r="A47" s="109">
        <f>DATI!A47</f>
        <v/>
      </c>
      <c r="B47" s="109">
        <f>DATI!B47</f>
        <v/>
      </c>
      <c r="C47" s="109">
        <f>DATI!H47</f>
        <v/>
      </c>
      <c r="D47" s="109">
        <f>SE.ERRORE(CERCA.X(A47;GIACENZA_REALE!A:A;GIACENZA_REALE!C:C);0)</f>
        <v/>
      </c>
      <c r="E47" s="109">
        <f>SE(C47=0;"";D47/C47)</f>
        <v/>
      </c>
      <c r="F47" s="109">
        <f>MAX(0;ARROTONDA.ECCESSO(C47-D47;1))</f>
        <v/>
      </c>
    </row>
    <row r="48">
      <c r="A48" s="109">
        <f>DATI!A48</f>
        <v/>
      </c>
      <c r="B48" s="109">
        <f>DATI!B48</f>
        <v/>
      </c>
      <c r="C48" s="109">
        <f>DATI!H48</f>
        <v/>
      </c>
      <c r="D48" s="109">
        <f>SE.ERRORE(CERCA.X(A48;GIACENZA_REALE!A:A;GIACENZA_REALE!C:C);0)</f>
        <v/>
      </c>
      <c r="E48" s="109">
        <f>SE(C48=0;"";D48/C48)</f>
        <v/>
      </c>
      <c r="F48" s="109">
        <f>MAX(0;ARROTONDA.ECCESSO(C48-D48;1))</f>
        <v/>
      </c>
    </row>
    <row r="49">
      <c r="A49" s="109">
        <f>DATI!A49</f>
        <v/>
      </c>
      <c r="B49" s="109">
        <f>DATI!B49</f>
        <v/>
      </c>
      <c r="C49" s="109">
        <f>DATI!H49</f>
        <v/>
      </c>
      <c r="D49" s="109">
        <f>SE.ERRORE(CERCA.X(A49;GIACENZA_REALE!A:A;GIACENZA_REALE!C:C);0)</f>
        <v/>
      </c>
      <c r="E49" s="109">
        <f>SE(C49=0;"";D49/C49)</f>
        <v/>
      </c>
      <c r="F49" s="109">
        <f>MAX(0;ARROTONDA.ECCESSO(C49-D49;1))</f>
        <v/>
      </c>
    </row>
    <row r="50">
      <c r="A50" s="109">
        <f>DATI!A50</f>
        <v/>
      </c>
      <c r="B50" s="109">
        <f>DATI!B50</f>
        <v/>
      </c>
      <c r="C50" s="109">
        <f>DATI!H50</f>
        <v/>
      </c>
      <c r="D50" s="109">
        <f>SE.ERRORE(CERCA.X(A50;GIACENZA_REALE!A:A;GIACENZA_REALE!C:C);0)</f>
        <v/>
      </c>
      <c r="E50" s="109">
        <f>SE(C50=0;"";D50/C50)</f>
        <v/>
      </c>
      <c r="F50" s="109">
        <f>MAX(0;ARROTONDA.ECCESSO(C50-D50;1))</f>
        <v/>
      </c>
    </row>
    <row r="51">
      <c r="A51" s="109">
        <f>DATI!A51</f>
        <v/>
      </c>
      <c r="B51" s="109">
        <f>DATI!B51</f>
        <v/>
      </c>
      <c r="C51" s="109">
        <f>DATI!H51</f>
        <v/>
      </c>
      <c r="D51" s="109">
        <f>SE.ERRORE(CERCA.X(A51;GIACENZA_REALE!A:A;GIACENZA_REALE!C:C);0)</f>
        <v/>
      </c>
      <c r="E51" s="109">
        <f>SE(C51=0;"";D51/C51)</f>
        <v/>
      </c>
      <c r="F51" s="109">
        <f>MAX(0;ARROTONDA.ECCESSO(C51-D51;1))</f>
        <v/>
      </c>
    </row>
    <row r="52">
      <c r="A52" s="109">
        <f>DATI!A52</f>
        <v/>
      </c>
      <c r="B52" s="109">
        <f>DATI!B52</f>
        <v/>
      </c>
      <c r="C52" s="109">
        <f>DATI!H52</f>
        <v/>
      </c>
      <c r="D52" s="109">
        <f>SE.ERRORE(CERCA.X(A52;GIACENZA_REALE!A:A;GIACENZA_REALE!C:C);0)</f>
        <v/>
      </c>
      <c r="E52" s="109">
        <f>SE(C52=0;"";D52/C52)</f>
        <v/>
      </c>
      <c r="F52" s="109">
        <f>MAX(0;ARROTONDA.ECCESSO(C52-D52;1))</f>
        <v/>
      </c>
    </row>
    <row r="53">
      <c r="A53" s="109">
        <f>DATI!A53</f>
        <v/>
      </c>
      <c r="B53" s="109">
        <f>DATI!B53</f>
        <v/>
      </c>
      <c r="C53" s="109">
        <f>DATI!H53</f>
        <v/>
      </c>
      <c r="D53" s="109">
        <f>SE.ERRORE(CERCA.X(A53;GIACENZA_REALE!A:A;GIACENZA_REALE!C:C);0)</f>
        <v/>
      </c>
      <c r="E53" s="109">
        <f>SE(C53=0;"";D53/C53)</f>
        <v/>
      </c>
      <c r="F53" s="109">
        <f>MAX(0;ARROTONDA.ECCESSO(C53-D53;1))</f>
        <v/>
      </c>
    </row>
    <row r="54">
      <c r="A54" s="109">
        <f>DATI!A54</f>
        <v/>
      </c>
      <c r="B54" s="109">
        <f>DATI!B54</f>
        <v/>
      </c>
      <c r="C54" s="109">
        <f>DATI!H54</f>
        <v/>
      </c>
      <c r="D54" s="109">
        <f>SE.ERRORE(CERCA.X(A54;GIACENZA_REALE!A:A;GIACENZA_REALE!C:C);0)</f>
        <v/>
      </c>
      <c r="E54" s="109">
        <f>SE(C54=0;"";D54/C54)</f>
        <v/>
      </c>
      <c r="F54" s="109">
        <f>MAX(0;ARROTONDA.ECCESSO(C54-D54;1))</f>
        <v/>
      </c>
    </row>
    <row r="55">
      <c r="A55" s="109">
        <f>DATI!A55</f>
        <v/>
      </c>
      <c r="B55" s="109">
        <f>DATI!B55</f>
        <v/>
      </c>
      <c r="C55" s="109">
        <f>DATI!H55</f>
        <v/>
      </c>
      <c r="D55" s="109">
        <f>SE.ERRORE(CERCA.X(A55;GIACENZA_REALE!A:A;GIACENZA_REALE!C:C);0)</f>
        <v/>
      </c>
      <c r="E55" s="109">
        <f>SE(C55=0;"";D55/C55)</f>
        <v/>
      </c>
      <c r="F55" s="109">
        <f>MAX(0;ARROTONDA.ECCESSO(C55-D55;1))</f>
        <v/>
      </c>
    </row>
    <row r="56">
      <c r="A56" s="109">
        <f>DATI!A56</f>
        <v/>
      </c>
      <c r="B56" s="109">
        <f>DATI!B56</f>
        <v/>
      </c>
      <c r="C56" s="109">
        <f>DATI!H56</f>
        <v/>
      </c>
      <c r="D56" s="109">
        <f>SE.ERRORE(CERCA.X(A56;GIACENZA_REALE!A:A;GIACENZA_REALE!C:C);0)</f>
        <v/>
      </c>
      <c r="E56" s="109">
        <f>SE(C56=0;"";D56/C56)</f>
        <v/>
      </c>
      <c r="F56" s="109">
        <f>MAX(0;ARROTONDA.ECCESSO(C56-D56;1))</f>
        <v/>
      </c>
    </row>
    <row r="57">
      <c r="A57" s="109">
        <f>DATI!A57</f>
        <v/>
      </c>
      <c r="B57" s="109">
        <f>DATI!B57</f>
        <v/>
      </c>
      <c r="C57" s="109">
        <f>DATI!H57</f>
        <v/>
      </c>
      <c r="D57" s="109">
        <f>SE.ERRORE(CERCA.X(A57;GIACENZA_REALE!A:A;GIACENZA_REALE!C:C);0)</f>
        <v/>
      </c>
      <c r="E57" s="109">
        <f>SE(C57=0;"";D57/C57)</f>
        <v/>
      </c>
      <c r="F57" s="109">
        <f>MAX(0;ARROTONDA.ECCESSO(C57-D57;1))</f>
        <v/>
      </c>
    </row>
    <row r="58">
      <c r="A58" s="109">
        <f>DATI!A58</f>
        <v/>
      </c>
      <c r="B58" s="109">
        <f>DATI!B58</f>
        <v/>
      </c>
      <c r="C58" s="109">
        <f>DATI!H58</f>
        <v/>
      </c>
      <c r="D58" s="109">
        <f>SE.ERRORE(CERCA.X(A58;GIACENZA_REALE!A:A;GIACENZA_REALE!C:C);0)</f>
        <v/>
      </c>
      <c r="E58" s="109">
        <f>SE(C58=0;"";D58/C58)</f>
        <v/>
      </c>
      <c r="F58" s="109">
        <f>MAX(0;ARROTONDA.ECCESSO(C58-D58;1))</f>
        <v/>
      </c>
    </row>
    <row r="59">
      <c r="A59" s="109">
        <f>DATI!A59</f>
        <v/>
      </c>
      <c r="B59" s="109">
        <f>DATI!B59</f>
        <v/>
      </c>
      <c r="C59" s="109">
        <f>DATI!H59</f>
        <v/>
      </c>
      <c r="D59" s="109">
        <f>SE.ERRORE(CERCA.X(A59;GIACENZA_REALE!A:A;GIACENZA_REALE!C:C);0)</f>
        <v/>
      </c>
      <c r="E59" s="109">
        <f>SE(C59=0;"";D59/C59)</f>
        <v/>
      </c>
      <c r="F59" s="109">
        <f>MAX(0;ARROTONDA.ECCESSO(C59-D59;1))</f>
        <v/>
      </c>
    </row>
    <row r="60">
      <c r="A60" s="109">
        <f>DATI!A60</f>
        <v/>
      </c>
      <c r="B60" s="109">
        <f>DATI!B60</f>
        <v/>
      </c>
      <c r="C60" s="109">
        <f>DATI!H60</f>
        <v/>
      </c>
      <c r="D60" s="109">
        <f>SE.ERRORE(CERCA.X(A60;GIACENZA_REALE!A:A;GIACENZA_REALE!C:C);0)</f>
        <v/>
      </c>
      <c r="E60" s="109">
        <f>SE(C60=0;"";D60/C60)</f>
        <v/>
      </c>
      <c r="F60" s="109">
        <f>MAX(0;ARROTONDA.ECCESSO(C60-D60;1))</f>
        <v/>
      </c>
    </row>
    <row r="61">
      <c r="A61" s="109">
        <f>DATI!A61</f>
        <v/>
      </c>
      <c r="B61" s="109">
        <f>DATI!B61</f>
        <v/>
      </c>
      <c r="C61" s="109">
        <f>DATI!H61</f>
        <v/>
      </c>
      <c r="D61" s="109">
        <f>SE.ERRORE(CERCA.X(A61;GIACENZA_REALE!A:A;GIACENZA_REALE!C:C);0)</f>
        <v/>
      </c>
      <c r="E61" s="109">
        <f>SE(C61=0;"";D61/C61)</f>
        <v/>
      </c>
      <c r="F61" s="109">
        <f>MAX(0;ARROTONDA.ECCESSO(C61-D61;1))</f>
        <v/>
      </c>
    </row>
    <row r="62">
      <c r="A62" s="109">
        <f>DATI!A62</f>
        <v/>
      </c>
      <c r="B62" s="109">
        <f>DATI!B62</f>
        <v/>
      </c>
      <c r="C62" s="109">
        <f>DATI!H62</f>
        <v/>
      </c>
      <c r="D62" s="109">
        <f>SE.ERRORE(CERCA.X(A62;GIACENZA_REALE!A:A;GIACENZA_REALE!C:C);0)</f>
        <v/>
      </c>
      <c r="E62" s="109">
        <f>SE(C62=0;"";D62/C62)</f>
        <v/>
      </c>
      <c r="F62" s="109">
        <f>MAX(0;ARROTONDA.ECCESSO(C62-D62;1))</f>
        <v/>
      </c>
    </row>
    <row r="63">
      <c r="A63" s="109">
        <f>DATI!A63</f>
        <v/>
      </c>
      <c r="B63" s="109">
        <f>DATI!B63</f>
        <v/>
      </c>
      <c r="C63" s="109">
        <f>DATI!H63</f>
        <v/>
      </c>
      <c r="D63" s="109">
        <f>SE.ERRORE(CERCA.X(A63;GIACENZA_REALE!A:A;GIACENZA_REALE!C:C);0)</f>
        <v/>
      </c>
      <c r="E63" s="109">
        <f>SE(C63=0;"";D63/C63)</f>
        <v/>
      </c>
      <c r="F63" s="109">
        <f>MAX(0;ARROTONDA.ECCESSO(C63-D63;1))</f>
        <v/>
      </c>
    </row>
    <row r="64">
      <c r="A64" s="109">
        <f>DATI!A64</f>
        <v/>
      </c>
      <c r="B64" s="109">
        <f>DATI!B64</f>
        <v/>
      </c>
      <c r="C64" s="109">
        <f>DATI!H64</f>
        <v/>
      </c>
      <c r="D64" s="109">
        <f>SE.ERRORE(CERCA.X(A64;GIACENZA_REALE!A:A;GIACENZA_REALE!C:C);0)</f>
        <v/>
      </c>
      <c r="E64" s="109">
        <f>SE(C64=0;"";D64/C64)</f>
        <v/>
      </c>
      <c r="F64" s="109">
        <f>MAX(0;ARROTONDA.ECCESSO(C64-D64;1))</f>
        <v/>
      </c>
    </row>
    <row r="65">
      <c r="A65" s="109">
        <f>DATI!A65</f>
        <v/>
      </c>
      <c r="B65" s="109">
        <f>DATI!B65</f>
        <v/>
      </c>
      <c r="C65" s="109">
        <f>DATI!H65</f>
        <v/>
      </c>
      <c r="D65" s="109">
        <f>SE.ERRORE(CERCA.X(A65;GIACENZA_REALE!A:A;GIACENZA_REALE!C:C);0)</f>
        <v/>
      </c>
      <c r="E65" s="109">
        <f>SE(C65=0;"";D65/C65)</f>
        <v/>
      </c>
      <c r="F65" s="109">
        <f>MAX(0;ARROTONDA.ECCESSO(C65-D65;1))</f>
        <v/>
      </c>
    </row>
    <row r="66">
      <c r="A66" s="109">
        <f>DATI!A66</f>
        <v/>
      </c>
      <c r="B66" s="109">
        <f>DATI!B66</f>
        <v/>
      </c>
      <c r="C66" s="109">
        <f>DATI!H66</f>
        <v/>
      </c>
      <c r="D66" s="109">
        <f>SE.ERRORE(CERCA.X(A66;GIACENZA_REALE!A:A;GIACENZA_REALE!C:C);0)</f>
        <v/>
      </c>
      <c r="E66" s="109">
        <f>SE(C66=0;"";D66/C66)</f>
        <v/>
      </c>
      <c r="F66" s="109">
        <f>MAX(0;ARROTONDA.ECCESSO(C66-D66;1))</f>
        <v/>
      </c>
    </row>
    <row r="67">
      <c r="A67" s="109">
        <f>DATI!A67</f>
        <v/>
      </c>
      <c r="B67" s="109">
        <f>DATI!B67</f>
        <v/>
      </c>
      <c r="C67" s="109">
        <f>DATI!H67</f>
        <v/>
      </c>
      <c r="D67" s="109">
        <f>SE.ERRORE(CERCA.X(A67;GIACENZA_REALE!A:A;GIACENZA_REALE!C:C);0)</f>
        <v/>
      </c>
      <c r="E67" s="109">
        <f>SE(C67=0;"";D67/C67)</f>
        <v/>
      </c>
      <c r="F67" s="109">
        <f>MAX(0;ARROTONDA.ECCESSO(C67-D67;1))</f>
        <v/>
      </c>
    </row>
    <row r="68">
      <c r="A68" s="109">
        <f>DATI!A68</f>
        <v/>
      </c>
      <c r="B68" s="109">
        <f>DATI!B68</f>
        <v/>
      </c>
      <c r="C68" s="109">
        <f>DATI!H68</f>
        <v/>
      </c>
      <c r="D68" s="109">
        <f>SE.ERRORE(CERCA.X(A68;GIACENZA_REALE!A:A;GIACENZA_REALE!C:C);0)</f>
        <v/>
      </c>
      <c r="E68" s="109">
        <f>SE(C68=0;"";D68/C68)</f>
        <v/>
      </c>
      <c r="F68" s="109">
        <f>MAX(0;ARROTONDA.ECCESSO(C68-D68;1))</f>
        <v/>
      </c>
    </row>
    <row r="69">
      <c r="A69" s="109">
        <f>DATI!A69</f>
        <v/>
      </c>
      <c r="B69" s="109">
        <f>DATI!B69</f>
        <v/>
      </c>
      <c r="C69" s="109">
        <f>DATI!H69</f>
        <v/>
      </c>
      <c r="D69" s="109">
        <f>SE.ERRORE(CERCA.X(A69;GIACENZA_REALE!A:A;GIACENZA_REALE!C:C);0)</f>
        <v/>
      </c>
      <c r="E69" s="109">
        <f>SE(C69=0;"";D69/C69)</f>
        <v/>
      </c>
      <c r="F69" s="109">
        <f>MAX(0;ARROTONDA.ECCESSO(C69-D69;1))</f>
        <v/>
      </c>
    </row>
    <row r="70">
      <c r="A70" s="109">
        <f>DATI!A70</f>
        <v/>
      </c>
      <c r="B70" s="109">
        <f>DATI!B70</f>
        <v/>
      </c>
      <c r="C70" s="109">
        <f>DATI!H70</f>
        <v/>
      </c>
      <c r="D70" s="109">
        <f>SE.ERRORE(CERCA.X(A70;GIACENZA_REALE!A:A;GIACENZA_REALE!C:C);0)</f>
        <v/>
      </c>
      <c r="E70" s="109">
        <f>SE(C70=0;"";D70/C70)</f>
        <v/>
      </c>
      <c r="F70" s="109">
        <f>MAX(0;ARROTONDA.ECCESSO(C70-D70;1))</f>
        <v/>
      </c>
    </row>
    <row r="71">
      <c r="A71" s="109">
        <f>DATI!A71</f>
        <v/>
      </c>
      <c r="B71" s="109">
        <f>DATI!B71</f>
        <v/>
      </c>
      <c r="C71" s="109">
        <f>DATI!H71</f>
        <v/>
      </c>
      <c r="D71" s="109">
        <f>SE.ERRORE(CERCA.X(A71;GIACENZA_REALE!A:A;GIACENZA_REALE!C:C);0)</f>
        <v/>
      </c>
      <c r="E71" s="109">
        <f>SE(C71=0;"";D71/C71)</f>
        <v/>
      </c>
      <c r="F71" s="109">
        <f>MAX(0;ARROTONDA.ECCESSO(C71-D71;1))</f>
        <v/>
      </c>
    </row>
    <row r="72">
      <c r="A72" s="109">
        <f>DATI!A72</f>
        <v/>
      </c>
      <c r="B72" s="109">
        <f>DATI!B72</f>
        <v/>
      </c>
      <c r="C72" s="109">
        <f>DATI!H72</f>
        <v/>
      </c>
      <c r="D72" s="109">
        <f>SE.ERRORE(CERCA.X(A72;GIACENZA_REALE!A:A;GIACENZA_REALE!C:C);0)</f>
        <v/>
      </c>
      <c r="E72" s="109">
        <f>SE(C72=0;"";D72/C72)</f>
        <v/>
      </c>
      <c r="F72" s="109">
        <f>MAX(0;ARROTONDA.ECCESSO(C72-D72;1))</f>
        <v/>
      </c>
    </row>
    <row r="73">
      <c r="A73" s="109">
        <f>DATI!A73</f>
        <v/>
      </c>
      <c r="B73" s="109">
        <f>DATI!B73</f>
        <v/>
      </c>
      <c r="C73" s="109">
        <f>DATI!H73</f>
        <v/>
      </c>
      <c r="D73" s="109">
        <f>SE.ERRORE(CERCA.X(A73;GIACENZA_REALE!A:A;GIACENZA_REALE!C:C);0)</f>
        <v/>
      </c>
      <c r="E73" s="109">
        <f>SE(C73=0;"";D73/C73)</f>
        <v/>
      </c>
      <c r="F73" s="109">
        <f>MAX(0;ARROTONDA.ECCESSO(C73-D73;1))</f>
        <v/>
      </c>
    </row>
    <row r="74">
      <c r="A74" s="109">
        <f>DATI!A74</f>
        <v/>
      </c>
      <c r="B74" s="109">
        <f>DATI!B74</f>
        <v/>
      </c>
      <c r="C74" s="109">
        <f>DATI!H74</f>
        <v/>
      </c>
      <c r="D74" s="109">
        <f>SE.ERRORE(CERCA.X(A74;GIACENZA_REALE!A:A;GIACENZA_REALE!C:C);0)</f>
        <v/>
      </c>
      <c r="E74" s="109">
        <f>SE(C74=0;"";D74/C74)</f>
        <v/>
      </c>
      <c r="F74" s="109">
        <f>MAX(0;ARROTONDA.ECCESSO(C74-D74;1))</f>
        <v/>
      </c>
    </row>
    <row r="75">
      <c r="A75" s="109">
        <f>DATI!A75</f>
        <v/>
      </c>
      <c r="B75" s="109">
        <f>DATI!B75</f>
        <v/>
      </c>
      <c r="C75" s="109">
        <f>DATI!H75</f>
        <v/>
      </c>
      <c r="D75" s="109">
        <f>SE.ERRORE(CERCA.X(A75;GIACENZA_REALE!A:A;GIACENZA_REALE!C:C);0)</f>
        <v/>
      </c>
      <c r="E75" s="109">
        <f>SE(C75=0;"";D75/C75)</f>
        <v/>
      </c>
      <c r="F75" s="109">
        <f>MAX(0;ARROTONDA.ECCESSO(C75-D75;1))</f>
        <v/>
      </c>
    </row>
    <row r="76">
      <c r="A76" s="109">
        <f>DATI!A76</f>
        <v/>
      </c>
      <c r="B76" s="109">
        <f>DATI!B76</f>
        <v/>
      </c>
      <c r="C76" s="109">
        <f>DATI!H76</f>
        <v/>
      </c>
      <c r="D76" s="109">
        <f>SE.ERRORE(CERCA.X(A76;GIACENZA_REALE!A:A;GIACENZA_REALE!C:C);0)</f>
        <v/>
      </c>
      <c r="E76" s="109">
        <f>SE(C76=0;"";D76/C76)</f>
        <v/>
      </c>
      <c r="F76" s="109">
        <f>MAX(0;ARROTONDA.ECCESSO(C76-D76;1))</f>
        <v/>
      </c>
    </row>
    <row r="77">
      <c r="A77" s="109">
        <f>DATI!A77</f>
        <v/>
      </c>
      <c r="B77" s="109">
        <f>DATI!B77</f>
        <v/>
      </c>
      <c r="C77" s="109">
        <f>DATI!H77</f>
        <v/>
      </c>
      <c r="D77" s="109">
        <f>SE.ERRORE(CERCA.X(A77;GIACENZA_REALE!A:A;GIACENZA_REALE!C:C);0)</f>
        <v/>
      </c>
      <c r="E77" s="109">
        <f>SE(C77=0;"";D77/C77)</f>
        <v/>
      </c>
      <c r="F77" s="109">
        <f>MAX(0;ARROTONDA.ECCESSO(C77-D77;1))</f>
        <v/>
      </c>
    </row>
    <row r="78">
      <c r="A78" s="109">
        <f>DATI!A78</f>
        <v/>
      </c>
      <c r="B78" s="109">
        <f>DATI!B78</f>
        <v/>
      </c>
      <c r="C78" s="109">
        <f>DATI!H78</f>
        <v/>
      </c>
      <c r="D78" s="109">
        <f>SE.ERRORE(CERCA.X(A78;GIACENZA_REALE!A:A;GIACENZA_REALE!C:C);0)</f>
        <v/>
      </c>
      <c r="E78" s="109">
        <f>SE(C78=0;"";D78/C78)</f>
        <v/>
      </c>
      <c r="F78" s="109">
        <f>MAX(0;ARROTONDA.ECCESSO(C78-D78;1))</f>
        <v/>
      </c>
    </row>
    <row r="79">
      <c r="A79" s="109">
        <f>DATI!A79</f>
        <v/>
      </c>
      <c r="B79" s="109">
        <f>DATI!B79</f>
        <v/>
      </c>
      <c r="C79" s="109">
        <f>DATI!H79</f>
        <v/>
      </c>
      <c r="D79" s="109">
        <f>SE.ERRORE(CERCA.X(A79;GIACENZA_REALE!A:A;GIACENZA_REALE!C:C);0)</f>
        <v/>
      </c>
      <c r="E79" s="109">
        <f>SE(C79=0;"";D79/C79)</f>
        <v/>
      </c>
      <c r="F79" s="109">
        <f>MAX(0;ARROTONDA.ECCESSO(C79-D79;1))</f>
        <v/>
      </c>
    </row>
    <row r="80">
      <c r="A80" s="109">
        <f>DATI!A80</f>
        <v/>
      </c>
      <c r="B80" s="109">
        <f>DATI!B80</f>
        <v/>
      </c>
      <c r="C80" s="109">
        <f>DATI!H80</f>
        <v/>
      </c>
      <c r="D80" s="109">
        <f>SE.ERRORE(CERCA.X(A80;GIACENZA_REALE!A:A;GIACENZA_REALE!C:C);0)</f>
        <v/>
      </c>
      <c r="E80" s="109">
        <f>SE(C80=0;"";D80/C80)</f>
        <v/>
      </c>
      <c r="F80" s="109">
        <f>MAX(0;ARROTONDA.ECCESSO(C80-D80;1))</f>
        <v/>
      </c>
    </row>
    <row r="81">
      <c r="A81" s="109">
        <f>DATI!A81</f>
        <v/>
      </c>
      <c r="B81" s="109">
        <f>DATI!B81</f>
        <v/>
      </c>
      <c r="C81" s="109">
        <f>DATI!H81</f>
        <v/>
      </c>
      <c r="D81" s="109">
        <f>SE.ERRORE(CERCA.X(A81;GIACENZA_REALE!A:A;GIACENZA_REALE!C:C);0)</f>
        <v/>
      </c>
      <c r="E81" s="109">
        <f>SE(C81=0;"";D81/C81)</f>
        <v/>
      </c>
      <c r="F81" s="109">
        <f>MAX(0;ARROTONDA.ECCESSO(C81-D81;1))</f>
        <v/>
      </c>
    </row>
    <row r="82">
      <c r="A82" s="109">
        <f>DATI!A82</f>
        <v/>
      </c>
      <c r="B82" s="109">
        <f>DATI!B82</f>
        <v/>
      </c>
      <c r="C82" s="109">
        <f>DATI!H82</f>
        <v/>
      </c>
      <c r="D82" s="109">
        <f>SE.ERRORE(CERCA.X(A82;GIACENZA_REALE!A:A;GIACENZA_REALE!C:C);0)</f>
        <v/>
      </c>
      <c r="E82" s="109">
        <f>SE(C82=0;"";D82/C82)</f>
        <v/>
      </c>
      <c r="F82" s="109">
        <f>MAX(0;ARROTONDA.ECCESSO(C82-D82;1))</f>
        <v/>
      </c>
    </row>
    <row r="83">
      <c r="A83" s="109">
        <f>DATI!A83</f>
        <v/>
      </c>
      <c r="B83" s="109">
        <f>DATI!B83</f>
        <v/>
      </c>
      <c r="C83" s="109">
        <f>DATI!H83</f>
        <v/>
      </c>
      <c r="D83" s="109">
        <f>SE.ERRORE(CERCA.X(A83;GIACENZA_REALE!A:A;GIACENZA_REALE!C:C);0)</f>
        <v/>
      </c>
      <c r="E83" s="109">
        <f>SE(C83=0;"";D83/C83)</f>
        <v/>
      </c>
      <c r="F83" s="109">
        <f>MAX(0;ARROTONDA.ECCESSO(C83-D83;1))</f>
        <v/>
      </c>
    </row>
    <row r="84">
      <c r="A84" s="109">
        <f>DATI!A84</f>
        <v/>
      </c>
      <c r="B84" s="109">
        <f>DATI!B84</f>
        <v/>
      </c>
      <c r="C84" s="109">
        <f>DATI!H84</f>
        <v/>
      </c>
      <c r="D84" s="109">
        <f>SE.ERRORE(CERCA.X(A84;GIACENZA_REALE!A:A;GIACENZA_REALE!C:C);0)</f>
        <v/>
      </c>
      <c r="E84" s="109">
        <f>SE(C84=0;"";D84/C84)</f>
        <v/>
      </c>
      <c r="F84" s="109">
        <f>MAX(0;ARROTONDA.ECCESSO(C84-D84;1))</f>
        <v/>
      </c>
    </row>
    <row r="85">
      <c r="A85" s="109">
        <f>DATI!A85</f>
        <v/>
      </c>
      <c r="B85" s="109">
        <f>DATI!B85</f>
        <v/>
      </c>
      <c r="C85" s="109">
        <f>DATI!H85</f>
        <v/>
      </c>
      <c r="D85" s="109">
        <f>SE.ERRORE(CERCA.X(A85;GIACENZA_REALE!A:A;GIACENZA_REALE!C:C);0)</f>
        <v/>
      </c>
      <c r="E85" s="109">
        <f>SE(C85=0;"";D85/C85)</f>
        <v/>
      </c>
      <c r="F85" s="109">
        <f>MAX(0;ARROTONDA.ECCESSO(C85-D85;1))</f>
        <v/>
      </c>
    </row>
    <row r="86">
      <c r="A86" s="109">
        <f>DATI!A86</f>
        <v/>
      </c>
      <c r="B86" s="109">
        <f>DATI!B86</f>
        <v/>
      </c>
      <c r="C86" s="109">
        <f>DATI!H86</f>
        <v/>
      </c>
      <c r="D86" s="109">
        <f>SE.ERRORE(CERCA.X(A86;GIACENZA_REALE!A:A;GIACENZA_REALE!C:C);0)</f>
        <v/>
      </c>
      <c r="E86" s="109">
        <f>SE(C86=0;"";D86/C86)</f>
        <v/>
      </c>
      <c r="F86" s="109">
        <f>MAX(0;ARROTONDA.ECCESSO(C86-D86;1))</f>
        <v/>
      </c>
    </row>
    <row r="87">
      <c r="A87" s="109">
        <f>DATI!A87</f>
        <v/>
      </c>
      <c r="B87" s="109">
        <f>DATI!B87</f>
        <v/>
      </c>
      <c r="C87" s="109">
        <f>DATI!H87</f>
        <v/>
      </c>
      <c r="D87" s="109">
        <f>SE.ERRORE(CERCA.X(A87;GIACENZA_REALE!A:A;GIACENZA_REALE!C:C);0)</f>
        <v/>
      </c>
      <c r="E87" s="109">
        <f>SE(C87=0;"";D87/C87)</f>
        <v/>
      </c>
      <c r="F87" s="109">
        <f>MAX(0;ARROTONDA.ECCESSO(C87-D87;1))</f>
        <v/>
      </c>
    </row>
    <row r="88">
      <c r="A88" s="109">
        <f>DATI!A88</f>
        <v/>
      </c>
      <c r="B88" s="109">
        <f>DATI!B88</f>
        <v/>
      </c>
      <c r="C88" s="109">
        <f>DATI!H88</f>
        <v/>
      </c>
      <c r="D88" s="109">
        <f>SE.ERRORE(CERCA.X(A88;GIACENZA_REALE!A:A;GIACENZA_REALE!C:C);0)</f>
        <v/>
      </c>
      <c r="E88" s="109">
        <f>SE(C88=0;"";D88/C88)</f>
        <v/>
      </c>
      <c r="F88" s="109">
        <f>MAX(0;ARROTONDA.ECCESSO(C88-D88;1))</f>
        <v/>
      </c>
    </row>
    <row r="89">
      <c r="A89" s="109">
        <f>DATI!A89</f>
        <v/>
      </c>
      <c r="B89" s="109">
        <f>DATI!B89</f>
        <v/>
      </c>
      <c r="C89" s="109">
        <f>DATI!H89</f>
        <v/>
      </c>
      <c r="D89" s="109">
        <f>SE.ERRORE(CERCA.X(A89;GIACENZA_REALE!A:A;GIACENZA_REALE!C:C);0)</f>
        <v/>
      </c>
      <c r="E89" s="109">
        <f>SE(C89=0;"";D89/C89)</f>
        <v/>
      </c>
      <c r="F89" s="109">
        <f>MAX(0;ARROTONDA.ECCESSO(C89-D89;1))</f>
        <v/>
      </c>
    </row>
    <row r="90">
      <c r="A90" s="109">
        <f>DATI!A90</f>
        <v/>
      </c>
      <c r="B90" s="109">
        <f>DATI!B90</f>
        <v/>
      </c>
      <c r="C90" s="109">
        <f>DATI!H90</f>
        <v/>
      </c>
      <c r="D90" s="109">
        <f>SE.ERRORE(CERCA.X(A90;GIACENZA_REALE!A:A;GIACENZA_REALE!C:C);0)</f>
        <v/>
      </c>
      <c r="E90" s="109">
        <f>SE(C90=0;"";D90/C90)</f>
        <v/>
      </c>
      <c r="F90" s="109">
        <f>MAX(0;ARROTONDA.ECCESSO(C90-D90;1))</f>
        <v/>
      </c>
    </row>
    <row r="91">
      <c r="A91" s="109">
        <f>DATI!A91</f>
        <v/>
      </c>
      <c r="B91" s="109">
        <f>DATI!B91</f>
        <v/>
      </c>
      <c r="C91" s="109">
        <f>DATI!H91</f>
        <v/>
      </c>
      <c r="D91" s="109">
        <f>SE.ERRORE(CERCA.X(A91;GIACENZA_REALE!A:A;GIACENZA_REALE!C:C);0)</f>
        <v/>
      </c>
      <c r="E91" s="109">
        <f>SE(C91=0;"";D91/C91)</f>
        <v/>
      </c>
      <c r="F91" s="109">
        <f>MAX(0;ARROTONDA.ECCESSO(C91-D91;1))</f>
        <v/>
      </c>
    </row>
    <row r="92">
      <c r="A92" s="109">
        <f>DATI!A92</f>
        <v/>
      </c>
      <c r="B92" s="109">
        <f>DATI!B92</f>
        <v/>
      </c>
      <c r="C92" s="109">
        <f>DATI!H92</f>
        <v/>
      </c>
      <c r="D92" s="109">
        <f>SE.ERRORE(CERCA.X(A92;GIACENZA_REALE!A:A;GIACENZA_REALE!C:C);0)</f>
        <v/>
      </c>
      <c r="E92" s="109">
        <f>SE(C92=0;"";D92/C92)</f>
        <v/>
      </c>
      <c r="F92" s="109">
        <f>MAX(0;ARROTONDA.ECCESSO(C92-D92;1))</f>
        <v/>
      </c>
    </row>
    <row r="93">
      <c r="A93" s="109">
        <f>DATI!A93</f>
        <v/>
      </c>
      <c r="B93" s="109">
        <f>DATI!B93</f>
        <v/>
      </c>
      <c r="C93" s="109">
        <f>DATI!H93</f>
        <v/>
      </c>
      <c r="D93" s="109">
        <f>SE.ERRORE(CERCA.X(A93;GIACENZA_REALE!A:A;GIACENZA_REALE!C:C);0)</f>
        <v/>
      </c>
      <c r="E93" s="109">
        <f>SE(C93=0;"";D93/C93)</f>
        <v/>
      </c>
      <c r="F93" s="109">
        <f>MAX(0;ARROTONDA.ECCESSO(C93-D93;1))</f>
        <v/>
      </c>
    </row>
    <row r="94">
      <c r="A94" s="109">
        <f>DATI!A94</f>
        <v/>
      </c>
      <c r="B94" s="109">
        <f>DATI!B94</f>
        <v/>
      </c>
      <c r="C94" s="109">
        <f>DATI!H94</f>
        <v/>
      </c>
      <c r="D94" s="109">
        <f>SE.ERRORE(CERCA.X(A94;GIACENZA_REALE!A:A;GIACENZA_REALE!C:C);0)</f>
        <v/>
      </c>
      <c r="E94" s="109">
        <f>SE(C94=0;"";D94/C94)</f>
        <v/>
      </c>
      <c r="F94" s="109">
        <f>MAX(0;ARROTONDA.ECCESSO(C94-D94;1))</f>
        <v/>
      </c>
    </row>
    <row r="95">
      <c r="A95" s="109">
        <f>DATI!A95</f>
        <v/>
      </c>
      <c r="B95" s="109">
        <f>DATI!B95</f>
        <v/>
      </c>
      <c r="C95" s="109">
        <f>DATI!H95</f>
        <v/>
      </c>
      <c r="D95" s="109">
        <f>SE.ERRORE(CERCA.X(A95;GIACENZA_REALE!A:A;GIACENZA_REALE!C:C);0)</f>
        <v/>
      </c>
      <c r="E95" s="109">
        <f>SE(C95=0;"";D95/C95)</f>
        <v/>
      </c>
      <c r="F95" s="109">
        <f>MAX(0;ARROTONDA.ECCESSO(C95-D95;1))</f>
        <v/>
      </c>
    </row>
    <row r="96">
      <c r="A96" s="109">
        <f>DATI!A96</f>
        <v/>
      </c>
      <c r="B96" s="109">
        <f>DATI!B96</f>
        <v/>
      </c>
      <c r="C96" s="109">
        <f>DATI!H96</f>
        <v/>
      </c>
      <c r="D96" s="109">
        <f>SE.ERRORE(CERCA.X(A96;GIACENZA_REALE!A:A;GIACENZA_REALE!C:C);0)</f>
        <v/>
      </c>
      <c r="E96" s="109">
        <f>SE(C96=0;"";D96/C96)</f>
        <v/>
      </c>
      <c r="F96" s="109">
        <f>MAX(0;ARROTONDA.ECCESSO(C96-D96;1))</f>
        <v/>
      </c>
    </row>
    <row r="97">
      <c r="A97" s="109">
        <f>DATI!A97</f>
        <v/>
      </c>
      <c r="B97" s="109">
        <f>DATI!B97</f>
        <v/>
      </c>
      <c r="C97" s="109">
        <f>DATI!H97</f>
        <v/>
      </c>
      <c r="D97" s="109">
        <f>SE.ERRORE(CERCA.X(A97;GIACENZA_REALE!A:A;GIACENZA_REALE!C:C);0)</f>
        <v/>
      </c>
      <c r="E97" s="109">
        <f>SE(C97=0;"";D97/C97)</f>
        <v/>
      </c>
      <c r="F97" s="109">
        <f>MAX(0;ARROTONDA.ECCESSO(C97-D97;1))</f>
        <v/>
      </c>
    </row>
    <row r="98">
      <c r="A98" s="109">
        <f>DATI!A98</f>
        <v/>
      </c>
      <c r="B98" s="109">
        <f>DATI!B98</f>
        <v/>
      </c>
      <c r="C98" s="109">
        <f>DATI!H98</f>
        <v/>
      </c>
      <c r="D98" s="109">
        <f>SE.ERRORE(CERCA.X(A98;GIACENZA_REALE!A:A;GIACENZA_REALE!C:C);0)</f>
        <v/>
      </c>
      <c r="E98" s="109">
        <f>SE(C98=0;"";D98/C98)</f>
        <v/>
      </c>
      <c r="F98" s="109">
        <f>MAX(0;ARROTONDA.ECCESSO(C98-D98;1))</f>
        <v/>
      </c>
    </row>
    <row r="99">
      <c r="A99" s="109">
        <f>DATI!A99</f>
        <v/>
      </c>
      <c r="B99" s="109">
        <f>DATI!B99</f>
        <v/>
      </c>
      <c r="C99" s="109">
        <f>DATI!H99</f>
        <v/>
      </c>
      <c r="D99" s="109">
        <f>SE.ERRORE(CERCA.X(A99;GIACENZA_REALE!A:A;GIACENZA_REALE!C:C);0)</f>
        <v/>
      </c>
      <c r="E99" s="109">
        <f>SE(C99=0;"";D99/C99)</f>
        <v/>
      </c>
      <c r="F99" s="109">
        <f>MAX(0;ARROTONDA.ECCESSO(C99-D99;1))</f>
        <v/>
      </c>
    </row>
    <row r="100">
      <c r="A100" s="109">
        <f>DATI!A100</f>
        <v/>
      </c>
      <c r="B100" s="109">
        <f>DATI!B100</f>
        <v/>
      </c>
      <c r="C100" s="109">
        <f>DATI!H100</f>
        <v/>
      </c>
      <c r="D100" s="109">
        <f>SE.ERRORE(CERCA.X(A100;GIACENZA_REALE!A:A;GIACENZA_REALE!C:C);0)</f>
        <v/>
      </c>
      <c r="E100" s="109">
        <f>SE(C100=0;"";D100/C100)</f>
        <v/>
      </c>
      <c r="F100" s="109">
        <f>MAX(0;ARROTONDA.ECCESSO(C100-D100;1))</f>
        <v/>
      </c>
    </row>
    <row r="101">
      <c r="A101" s="109">
        <f>DATI!A101</f>
        <v/>
      </c>
      <c r="B101" s="109">
        <f>DATI!B101</f>
        <v/>
      </c>
      <c r="C101" s="109">
        <f>DATI!H101</f>
        <v/>
      </c>
      <c r="D101" s="109">
        <f>SE.ERRORE(CERCA.X(A101;GIACENZA_REALE!A:A;GIACENZA_REALE!C:C);0)</f>
        <v/>
      </c>
      <c r="E101" s="109">
        <f>SE(C101=0;"";D101/C101)</f>
        <v/>
      </c>
      <c r="F101" s="109">
        <f>MAX(0;ARROTONDA.ECCESSO(C101-D101;1))</f>
        <v/>
      </c>
    </row>
    <row r="102">
      <c r="A102" s="109">
        <f>DATI!A102</f>
        <v/>
      </c>
      <c r="B102" s="109">
        <f>DATI!B102</f>
        <v/>
      </c>
      <c r="C102" s="109">
        <f>DATI!H102</f>
        <v/>
      </c>
      <c r="D102" s="109">
        <f>SE.ERRORE(CERCA.X(A102;GIACENZA_REALE!A:A;GIACENZA_REALE!C:C);0)</f>
        <v/>
      </c>
      <c r="E102" s="109">
        <f>SE(C102=0;"";D102/C102)</f>
        <v/>
      </c>
      <c r="F102" s="109">
        <f>MAX(0;ARROTONDA.ECCESSO(C102-D102;1))</f>
        <v/>
      </c>
    </row>
    <row r="103">
      <c r="A103" s="109">
        <f>DATI!A103</f>
        <v/>
      </c>
      <c r="B103" s="109">
        <f>DATI!B103</f>
        <v/>
      </c>
      <c r="C103" s="109">
        <f>DATI!H103</f>
        <v/>
      </c>
      <c r="D103" s="109">
        <f>SE.ERRORE(CERCA.X(A103;GIACENZA_REALE!A:A;GIACENZA_REALE!C:C);0)</f>
        <v/>
      </c>
      <c r="E103" s="109">
        <f>SE(C103=0;"";D103/C103)</f>
        <v/>
      </c>
      <c r="F103" s="109">
        <f>MAX(0;ARROTONDA.ECCESSO(C103-D103;1))</f>
        <v/>
      </c>
    </row>
    <row r="104">
      <c r="A104" s="109">
        <f>DATI!A104</f>
        <v/>
      </c>
      <c r="B104" s="109">
        <f>DATI!B104</f>
        <v/>
      </c>
      <c r="C104" s="109">
        <f>DATI!H104</f>
        <v/>
      </c>
      <c r="D104" s="109">
        <f>SE.ERRORE(CERCA.X(A104;GIACENZA_REALE!A:A;GIACENZA_REALE!C:C);0)</f>
        <v/>
      </c>
      <c r="E104" s="109">
        <f>SE(C104=0;"";D104/C104)</f>
        <v/>
      </c>
      <c r="F104" s="109">
        <f>MAX(0;ARROTONDA.ECCESSO(C104-D104;1))</f>
        <v/>
      </c>
    </row>
    <row r="105">
      <c r="A105" s="109">
        <f>DATI!A105</f>
        <v/>
      </c>
      <c r="B105" s="109">
        <f>DATI!B105</f>
        <v/>
      </c>
      <c r="C105" s="109">
        <f>DATI!H105</f>
        <v/>
      </c>
      <c r="D105" s="109">
        <f>SE.ERRORE(CERCA.X(A105;GIACENZA_REALE!A:A;GIACENZA_REALE!C:C);0)</f>
        <v/>
      </c>
      <c r="E105" s="109">
        <f>SE(C105=0;"";D105/C105)</f>
        <v/>
      </c>
      <c r="F105" s="109">
        <f>MAX(0;ARROTONDA.ECCESSO(C105-D105;1))</f>
        <v/>
      </c>
    </row>
    <row r="106">
      <c r="A106" s="109">
        <f>DATI!A106</f>
        <v/>
      </c>
      <c r="B106" s="109">
        <f>DATI!B106</f>
        <v/>
      </c>
      <c r="C106" s="109">
        <f>DATI!H106</f>
        <v/>
      </c>
      <c r="D106" s="109">
        <f>SE.ERRORE(CERCA.X(A106;GIACENZA_REALE!A:A;GIACENZA_REALE!C:C);0)</f>
        <v/>
      </c>
      <c r="E106" s="109">
        <f>SE(C106=0;"";D106/C106)</f>
        <v/>
      </c>
      <c r="F106" s="109">
        <f>MAX(0;ARROTONDA.ECCESSO(C106-D106;1))</f>
        <v/>
      </c>
    </row>
    <row r="107">
      <c r="A107" s="109">
        <f>DATI!A107</f>
        <v/>
      </c>
      <c r="B107" s="109">
        <f>DATI!B107</f>
        <v/>
      </c>
      <c r="C107" s="109">
        <f>DATI!H107</f>
        <v/>
      </c>
      <c r="D107" s="109">
        <f>SE.ERRORE(CERCA.X(A107;GIACENZA_REALE!A:A;GIACENZA_REALE!C:C);0)</f>
        <v/>
      </c>
      <c r="E107" s="109">
        <f>SE(C107=0;"";D107/C107)</f>
        <v/>
      </c>
      <c r="F107" s="109">
        <f>MAX(0;ARROTONDA.ECCESSO(C107-D107;1))</f>
        <v/>
      </c>
    </row>
    <row r="108">
      <c r="A108" s="109">
        <f>DATI!A108</f>
        <v/>
      </c>
      <c r="B108" s="109">
        <f>DATI!B108</f>
        <v/>
      </c>
      <c r="C108" s="109">
        <f>DATI!H108</f>
        <v/>
      </c>
      <c r="D108" s="109">
        <f>SE.ERRORE(CERCA.X(A108;GIACENZA_REALE!A:A;GIACENZA_REALE!C:C);0)</f>
        <v/>
      </c>
      <c r="E108" s="109">
        <f>SE(C108=0;"";D108/C108)</f>
        <v/>
      </c>
      <c r="F108" s="109">
        <f>MAX(0;ARROTONDA.ECCESSO(C108-D108;1))</f>
        <v/>
      </c>
    </row>
    <row r="109">
      <c r="A109" s="109">
        <f>DATI!A109</f>
        <v/>
      </c>
      <c r="B109" s="109">
        <f>DATI!B109</f>
        <v/>
      </c>
      <c r="C109" s="109">
        <f>DATI!H109</f>
        <v/>
      </c>
      <c r="D109" s="109">
        <f>SE.ERRORE(CERCA.X(A109;GIACENZA_REALE!A:A;GIACENZA_REALE!C:C);0)</f>
        <v/>
      </c>
      <c r="E109" s="109">
        <f>SE(C109=0;"";D109/C109)</f>
        <v/>
      </c>
      <c r="F109" s="109">
        <f>MAX(0;ARROTONDA.ECCESSO(C109-D109;1))</f>
        <v/>
      </c>
    </row>
    <row r="110">
      <c r="A110" s="109">
        <f>DATI!A110</f>
        <v/>
      </c>
      <c r="B110" s="109">
        <f>DATI!B110</f>
        <v/>
      </c>
      <c r="C110" s="109">
        <f>DATI!H110</f>
        <v/>
      </c>
      <c r="D110" s="109">
        <f>SE.ERRORE(CERCA.X(A110;GIACENZA_REALE!A:A;GIACENZA_REALE!C:C);0)</f>
        <v/>
      </c>
      <c r="E110" s="109">
        <f>SE(C110=0;"";D110/C110)</f>
        <v/>
      </c>
      <c r="F110" s="109">
        <f>MAX(0;ARROTONDA.ECCESSO(C110-D110;1))</f>
        <v/>
      </c>
    </row>
    <row r="111">
      <c r="A111" s="109">
        <f>DATI!A111</f>
        <v/>
      </c>
      <c r="B111" s="109">
        <f>DATI!B111</f>
        <v/>
      </c>
      <c r="C111" s="109">
        <f>DATI!H111</f>
        <v/>
      </c>
      <c r="D111" s="109">
        <f>SE.ERRORE(CERCA.X(A111;GIACENZA_REALE!A:A;GIACENZA_REALE!C:C);0)</f>
        <v/>
      </c>
      <c r="E111" s="109">
        <f>SE(C111=0;"";D111/C111)</f>
        <v/>
      </c>
      <c r="F111" s="109">
        <f>MAX(0;ARROTONDA.ECCESSO(C111-D111;1))</f>
        <v/>
      </c>
    </row>
    <row r="112">
      <c r="A112" s="109">
        <f>DATI!A112</f>
        <v/>
      </c>
      <c r="B112" s="109">
        <f>DATI!B112</f>
        <v/>
      </c>
      <c r="C112" s="109">
        <f>DATI!H112</f>
        <v/>
      </c>
      <c r="D112" s="109">
        <f>SE.ERRORE(CERCA.X(A112;GIACENZA_REALE!A:A;GIACENZA_REALE!C:C);0)</f>
        <v/>
      </c>
      <c r="E112" s="109">
        <f>SE(C112=0;"";D112/C112)</f>
        <v/>
      </c>
      <c r="F112" s="109">
        <f>MAX(0;ARROTONDA.ECCESSO(C112-D112;1))</f>
        <v/>
      </c>
    </row>
    <row r="113">
      <c r="A113" s="109">
        <f>DATI!A113</f>
        <v/>
      </c>
      <c r="B113" s="109">
        <f>DATI!B113</f>
        <v/>
      </c>
      <c r="C113" s="109">
        <f>DATI!H113</f>
        <v/>
      </c>
      <c r="D113" s="109">
        <f>SE.ERRORE(CERCA.X(A113;GIACENZA_REALE!A:A;GIACENZA_REALE!C:C);0)</f>
        <v/>
      </c>
      <c r="E113" s="109">
        <f>SE(C113=0;"";D113/C113)</f>
        <v/>
      </c>
      <c r="F113" s="109">
        <f>MAX(0;ARROTONDA.ECCESSO(C113-D113;1))</f>
        <v/>
      </c>
    </row>
    <row r="114">
      <c r="A114" s="109">
        <f>DATI!A114</f>
        <v/>
      </c>
      <c r="B114" s="109">
        <f>DATI!B114</f>
        <v/>
      </c>
      <c r="C114" s="109">
        <f>DATI!H114</f>
        <v/>
      </c>
      <c r="D114" s="109">
        <f>SE.ERRORE(CERCA.X(A114;GIACENZA_REALE!A:A;GIACENZA_REALE!C:C);0)</f>
        <v/>
      </c>
      <c r="E114" s="109">
        <f>SE(C114=0;"";D114/C114)</f>
        <v/>
      </c>
      <c r="F114" s="109">
        <f>MAX(0;ARROTONDA.ECCESSO(C114-D114;1))</f>
        <v/>
      </c>
    </row>
    <row r="115">
      <c r="A115" s="109">
        <f>DATI!A115</f>
        <v/>
      </c>
      <c r="B115" s="109">
        <f>DATI!B115</f>
        <v/>
      </c>
      <c r="C115" s="109">
        <f>DATI!H115</f>
        <v/>
      </c>
      <c r="D115" s="109">
        <f>SE.ERRORE(CERCA.X(A115;GIACENZA_REALE!A:A;GIACENZA_REALE!C:C);0)</f>
        <v/>
      </c>
      <c r="E115" s="109">
        <f>SE(C115=0;"";D115/C115)</f>
        <v/>
      </c>
      <c r="F115" s="109">
        <f>MAX(0;ARROTONDA.ECCESSO(C115-D115;1))</f>
        <v/>
      </c>
    </row>
    <row r="116">
      <c r="A116" s="109">
        <f>DATI!A116</f>
        <v/>
      </c>
      <c r="B116" s="109">
        <f>DATI!B116</f>
        <v/>
      </c>
      <c r="C116" s="109">
        <f>DATI!H116</f>
        <v/>
      </c>
      <c r="D116" s="109">
        <f>SE.ERRORE(CERCA.X(A116;GIACENZA_REALE!A:A;GIACENZA_REALE!C:C);0)</f>
        <v/>
      </c>
      <c r="E116" s="109">
        <f>SE(C116=0;"";D116/C116)</f>
        <v/>
      </c>
      <c r="F116" s="109">
        <f>MAX(0;ARROTONDA.ECCESSO(C116-D116;1))</f>
        <v/>
      </c>
    </row>
    <row r="117">
      <c r="A117" s="109">
        <f>DATI!A117</f>
        <v/>
      </c>
      <c r="B117" s="109">
        <f>DATI!B117</f>
        <v/>
      </c>
      <c r="C117" s="109">
        <f>DATI!H117</f>
        <v/>
      </c>
      <c r="D117" s="109">
        <f>SE.ERRORE(CERCA.X(A117;GIACENZA_REALE!A:A;GIACENZA_REALE!C:C);0)</f>
        <v/>
      </c>
      <c r="E117" s="109">
        <f>SE(C117=0;"";D117/C117)</f>
        <v/>
      </c>
      <c r="F117" s="109">
        <f>MAX(0;ARROTONDA.ECCESSO(C117-D117;1))</f>
        <v/>
      </c>
    </row>
    <row r="118">
      <c r="A118" s="109">
        <f>DATI!A118</f>
        <v/>
      </c>
      <c r="B118" s="109">
        <f>DATI!B118</f>
        <v/>
      </c>
      <c r="C118" s="109">
        <f>DATI!H118</f>
        <v/>
      </c>
      <c r="D118" s="109">
        <f>SE.ERRORE(CERCA.X(A118;GIACENZA_REALE!A:A;GIACENZA_REALE!C:C);0)</f>
        <v/>
      </c>
      <c r="E118" s="109">
        <f>SE(C118=0;"";D118/C118)</f>
        <v/>
      </c>
      <c r="F118" s="109">
        <f>MAX(0;ARROTONDA.ECCESSO(C118-D118;1))</f>
        <v/>
      </c>
    </row>
    <row r="119">
      <c r="A119" s="109">
        <f>DATI!A119</f>
        <v/>
      </c>
      <c r="B119" s="109">
        <f>DATI!B119</f>
        <v/>
      </c>
      <c r="C119" s="109">
        <f>DATI!H119</f>
        <v/>
      </c>
      <c r="D119" s="109">
        <f>SE.ERRORE(CERCA.X(A119;GIACENZA_REALE!A:A;GIACENZA_REALE!C:C);0)</f>
        <v/>
      </c>
      <c r="E119" s="109">
        <f>SE(C119=0;"";D119/C119)</f>
        <v/>
      </c>
      <c r="F119" s="109">
        <f>MAX(0;ARROTONDA.ECCESSO(C119-D119;1))</f>
        <v/>
      </c>
    </row>
    <row r="120">
      <c r="A120" s="109">
        <f>DATI!A120</f>
        <v/>
      </c>
      <c r="B120" s="109">
        <f>DATI!B120</f>
        <v/>
      </c>
      <c r="C120" s="109">
        <f>DATI!H120</f>
        <v/>
      </c>
      <c r="D120" s="109">
        <f>SE.ERRORE(CERCA.X(A120;GIACENZA_REALE!A:A;GIACENZA_REALE!C:C);0)</f>
        <v/>
      </c>
      <c r="E120" s="109">
        <f>SE(C120=0;"";D120/C120)</f>
        <v/>
      </c>
      <c r="F120" s="109">
        <f>MAX(0;ARROTONDA.ECCESSO(C120-D120;1))</f>
        <v/>
      </c>
    </row>
    <row r="121">
      <c r="A121" s="109">
        <f>DATI!A121</f>
        <v/>
      </c>
      <c r="B121" s="109">
        <f>DATI!B121</f>
        <v/>
      </c>
      <c r="C121" s="109">
        <f>DATI!H121</f>
        <v/>
      </c>
      <c r="D121" s="109">
        <f>SE.ERRORE(CERCA.X(A121;GIACENZA_REALE!A:A;GIACENZA_REALE!C:C);0)</f>
        <v/>
      </c>
      <c r="E121" s="109">
        <f>SE(C121=0;"";D121/C121)</f>
        <v/>
      </c>
      <c r="F121" s="109">
        <f>MAX(0;ARROTONDA.ECCESSO(C121-D121;1))</f>
        <v/>
      </c>
    </row>
    <row r="122">
      <c r="A122" s="109">
        <f>DATI!A122</f>
        <v/>
      </c>
      <c r="B122" s="109">
        <f>DATI!B122</f>
        <v/>
      </c>
      <c r="C122" s="109">
        <f>DATI!H122</f>
        <v/>
      </c>
      <c r="D122" s="109">
        <f>SE.ERRORE(CERCA.X(A122;GIACENZA_REALE!A:A;GIACENZA_REALE!C:C);0)</f>
        <v/>
      </c>
      <c r="E122" s="109">
        <f>SE(C122=0;"";D122/C122)</f>
        <v/>
      </c>
      <c r="F122" s="109">
        <f>MAX(0;ARROTONDA.ECCESSO(C122-D122;1))</f>
        <v/>
      </c>
    </row>
    <row r="123">
      <c r="A123" s="109">
        <f>DATI!A123</f>
        <v/>
      </c>
      <c r="B123" s="109">
        <f>DATI!B123</f>
        <v/>
      </c>
      <c r="C123" s="109">
        <f>DATI!H123</f>
        <v/>
      </c>
      <c r="D123" s="109">
        <f>SE.ERRORE(CERCA.X(A123;GIACENZA_REALE!A:A;GIACENZA_REALE!C:C);0)</f>
        <v/>
      </c>
      <c r="E123" s="109">
        <f>SE(C123=0;"";D123/C123)</f>
        <v/>
      </c>
      <c r="F123" s="109">
        <f>MAX(0;ARROTONDA.ECCESSO(C123-D123;1))</f>
        <v/>
      </c>
    </row>
    <row r="124">
      <c r="A124" s="109">
        <f>DATI!A124</f>
        <v/>
      </c>
      <c r="B124" s="109">
        <f>DATI!B124</f>
        <v/>
      </c>
      <c r="C124" s="109">
        <f>DATI!H124</f>
        <v/>
      </c>
      <c r="D124" s="109">
        <f>SE.ERRORE(CERCA.X(A124;GIACENZA_REALE!A:A;GIACENZA_REALE!C:C);0)</f>
        <v/>
      </c>
      <c r="E124" s="109">
        <f>SE(C124=0;"";D124/C124)</f>
        <v/>
      </c>
      <c r="F124" s="109">
        <f>MAX(0;ARROTONDA.ECCESSO(C124-D124;1))</f>
        <v/>
      </c>
    </row>
    <row r="125">
      <c r="A125" s="109">
        <f>DATI!A125</f>
        <v/>
      </c>
      <c r="B125" s="109">
        <f>DATI!B125</f>
        <v/>
      </c>
      <c r="C125" s="109">
        <f>DATI!H125</f>
        <v/>
      </c>
      <c r="D125" s="109">
        <f>SE.ERRORE(CERCA.X(A125;GIACENZA_REALE!A:A;GIACENZA_REALE!C:C);0)</f>
        <v/>
      </c>
      <c r="E125" s="109">
        <f>SE(C125=0;"";D125/C125)</f>
        <v/>
      </c>
      <c r="F125" s="109">
        <f>MAX(0;ARROTONDA.ECCESSO(C125-D125;1))</f>
        <v/>
      </c>
    </row>
    <row r="126">
      <c r="A126" s="109">
        <f>DATI!A126</f>
        <v/>
      </c>
      <c r="B126" s="109">
        <f>DATI!B126</f>
        <v/>
      </c>
      <c r="C126" s="109">
        <f>DATI!H126</f>
        <v/>
      </c>
      <c r="D126" s="109">
        <f>SE.ERRORE(CERCA.X(A126;GIACENZA_REALE!A:A;GIACENZA_REALE!C:C);0)</f>
        <v/>
      </c>
      <c r="E126" s="109">
        <f>SE(C126=0;"";D126/C126)</f>
        <v/>
      </c>
      <c r="F126" s="109">
        <f>MAX(0;ARROTONDA.ECCESSO(C126-D126;1))</f>
        <v/>
      </c>
    </row>
    <row r="127">
      <c r="A127" s="109">
        <f>DATI!A127</f>
        <v/>
      </c>
      <c r="B127" s="109">
        <f>DATI!B127</f>
        <v/>
      </c>
      <c r="C127" s="109">
        <f>DATI!H127</f>
        <v/>
      </c>
      <c r="D127" s="109">
        <f>SE.ERRORE(CERCA.X(A127;GIACENZA_REALE!A:A;GIACENZA_REALE!C:C);0)</f>
        <v/>
      </c>
      <c r="E127" s="109">
        <f>SE(C127=0;"";D127/C127)</f>
        <v/>
      </c>
      <c r="F127" s="109">
        <f>MAX(0;ARROTONDA.ECCESSO(C127-D127;1))</f>
        <v/>
      </c>
    </row>
    <row r="128">
      <c r="A128" s="109">
        <f>DATI!A128</f>
        <v/>
      </c>
      <c r="B128" s="109">
        <f>DATI!B128</f>
        <v/>
      </c>
      <c r="C128" s="109">
        <f>DATI!H128</f>
        <v/>
      </c>
      <c r="D128" s="109">
        <f>SE.ERRORE(CERCA.X(A128;GIACENZA_REALE!A:A;GIACENZA_REALE!C:C);0)</f>
        <v/>
      </c>
      <c r="E128" s="109">
        <f>SE(C128=0;"";D128/C128)</f>
        <v/>
      </c>
      <c r="F128" s="109">
        <f>MAX(0;ARROTONDA.ECCESSO(C128-D128;1))</f>
        <v/>
      </c>
    </row>
    <row r="129">
      <c r="A129" s="109">
        <f>DATI!A129</f>
        <v/>
      </c>
      <c r="B129" s="109">
        <f>DATI!B129</f>
        <v/>
      </c>
      <c r="C129" s="109">
        <f>DATI!H129</f>
        <v/>
      </c>
      <c r="D129" s="109">
        <f>SE.ERRORE(CERCA.X(A129;GIACENZA_REALE!A:A;GIACENZA_REALE!C:C);0)</f>
        <v/>
      </c>
      <c r="E129" s="109">
        <f>SE(C129=0;"";D129/C129)</f>
        <v/>
      </c>
      <c r="F129" s="109">
        <f>MAX(0;ARROTONDA.ECCESSO(C129-D129;1))</f>
        <v/>
      </c>
    </row>
    <row r="130">
      <c r="A130" s="109">
        <f>DATI!A130</f>
        <v/>
      </c>
      <c r="B130" s="109">
        <f>DATI!B130</f>
        <v/>
      </c>
      <c r="C130" s="109">
        <f>DATI!H130</f>
        <v/>
      </c>
      <c r="D130" s="109">
        <f>SE.ERRORE(CERCA.X(A130;GIACENZA_REALE!A:A;GIACENZA_REALE!C:C);0)</f>
        <v/>
      </c>
      <c r="E130" s="109">
        <f>SE(C130=0;"";D130/C130)</f>
        <v/>
      </c>
      <c r="F130" s="109">
        <f>MAX(0;ARROTONDA.ECCESSO(C130-D130;1))</f>
        <v/>
      </c>
    </row>
    <row r="131">
      <c r="A131" s="109">
        <f>DATI!A131</f>
        <v/>
      </c>
      <c r="B131" s="109">
        <f>DATI!B131</f>
        <v/>
      </c>
      <c r="C131" s="109">
        <f>DATI!H131</f>
        <v/>
      </c>
      <c r="D131" s="109">
        <f>SE.ERRORE(CERCA.X(A131;GIACENZA_REALE!A:A;GIACENZA_REALE!C:C);0)</f>
        <v/>
      </c>
      <c r="E131" s="109">
        <f>SE(C131=0;"";D131/C131)</f>
        <v/>
      </c>
      <c r="F131" s="109">
        <f>MAX(0;ARROTONDA.ECCESSO(C131-D131;1))</f>
        <v/>
      </c>
    </row>
    <row r="132">
      <c r="A132" s="109">
        <f>DATI!A132</f>
        <v/>
      </c>
      <c r="B132" s="109">
        <f>DATI!B132</f>
        <v/>
      </c>
      <c r="C132" s="109">
        <f>DATI!H132</f>
        <v/>
      </c>
      <c r="D132" s="109">
        <f>SE.ERRORE(CERCA.X(A132;GIACENZA_REALE!A:A;GIACENZA_REALE!C:C);0)</f>
        <v/>
      </c>
      <c r="E132" s="109">
        <f>SE(C132=0;"";D132/C132)</f>
        <v/>
      </c>
      <c r="F132" s="109">
        <f>MAX(0;ARROTONDA.ECCESSO(C132-D132;1))</f>
        <v/>
      </c>
    </row>
    <row r="133">
      <c r="A133" s="109">
        <f>DATI!A133</f>
        <v/>
      </c>
      <c r="B133" s="109">
        <f>DATI!B133</f>
        <v/>
      </c>
      <c r="C133" s="109">
        <f>DATI!H133</f>
        <v/>
      </c>
      <c r="D133" s="109">
        <f>SE.ERRORE(CERCA.X(A133;GIACENZA_REALE!A:A;GIACENZA_REALE!C:C);0)</f>
        <v/>
      </c>
      <c r="E133" s="109">
        <f>SE(C133=0;"";D133/C133)</f>
        <v/>
      </c>
      <c r="F133" s="109">
        <f>MAX(0;ARROTONDA.ECCESSO(C133-D133;1))</f>
        <v/>
      </c>
    </row>
    <row r="134">
      <c r="A134" s="109">
        <f>DATI!A134</f>
        <v/>
      </c>
      <c r="B134" s="109">
        <f>DATI!B134</f>
        <v/>
      </c>
      <c r="C134" s="109">
        <f>DATI!H134</f>
        <v/>
      </c>
      <c r="D134" s="109">
        <f>SE.ERRORE(CERCA.X(A134;GIACENZA_REALE!A:A;GIACENZA_REALE!C:C);0)</f>
        <v/>
      </c>
      <c r="E134" s="109">
        <f>SE(C134=0;"";D134/C134)</f>
        <v/>
      </c>
      <c r="F134" s="109">
        <f>MAX(0;ARROTONDA.ECCESSO(C134-D134;1))</f>
        <v/>
      </c>
    </row>
    <row r="135">
      <c r="A135" s="109">
        <f>DATI!A135</f>
        <v/>
      </c>
      <c r="B135" s="109">
        <f>DATI!B135</f>
        <v/>
      </c>
      <c r="C135" s="109">
        <f>DATI!H135</f>
        <v/>
      </c>
      <c r="D135" s="109">
        <f>SE.ERRORE(CERCA.X(A135;GIACENZA_REALE!A:A;GIACENZA_REALE!C:C);0)</f>
        <v/>
      </c>
      <c r="E135" s="109">
        <f>SE(C135=0;"";D135/C135)</f>
        <v/>
      </c>
      <c r="F135" s="109">
        <f>MAX(0;ARROTONDA.ECCESSO(C135-D135;1))</f>
        <v/>
      </c>
    </row>
    <row r="136">
      <c r="A136" s="109">
        <f>DATI!A136</f>
        <v/>
      </c>
      <c r="B136" s="109">
        <f>DATI!B136</f>
        <v/>
      </c>
      <c r="C136" s="109">
        <f>DATI!H136</f>
        <v/>
      </c>
      <c r="D136" s="109">
        <f>SE.ERRORE(CERCA.X(A136;GIACENZA_REALE!A:A;GIACENZA_REALE!C:C);0)</f>
        <v/>
      </c>
      <c r="E136" s="109">
        <f>SE(C136=0;"";D136/C136)</f>
        <v/>
      </c>
      <c r="F136" s="109">
        <f>MAX(0;ARROTONDA.ECCESSO(C136-D136;1))</f>
        <v/>
      </c>
    </row>
    <row r="137">
      <c r="A137" s="109">
        <f>DATI!A137</f>
        <v/>
      </c>
      <c r="B137" s="109">
        <f>DATI!B137</f>
        <v/>
      </c>
      <c r="C137" s="109">
        <f>DATI!H137</f>
        <v/>
      </c>
      <c r="D137" s="109">
        <f>SE.ERRORE(CERCA.X(A137;GIACENZA_REALE!A:A;GIACENZA_REALE!C:C);0)</f>
        <v/>
      </c>
      <c r="E137" s="109">
        <f>SE(C137=0;"";D137/C137)</f>
        <v/>
      </c>
      <c r="F137" s="109">
        <f>MAX(0;ARROTONDA.ECCESSO(C137-D137;1))</f>
        <v/>
      </c>
    </row>
    <row r="138">
      <c r="A138" s="109">
        <f>DATI!A138</f>
        <v/>
      </c>
      <c r="B138" s="109">
        <f>DATI!B138</f>
        <v/>
      </c>
      <c r="C138" s="109">
        <f>DATI!H138</f>
        <v/>
      </c>
      <c r="D138" s="109">
        <f>SE.ERRORE(CERCA.X(A138;GIACENZA_REALE!A:A;GIACENZA_REALE!C:C);0)</f>
        <v/>
      </c>
      <c r="E138" s="109">
        <f>SE(C138=0;"";D138/C138)</f>
        <v/>
      </c>
      <c r="F138" s="109">
        <f>MAX(0;ARROTONDA.ECCESSO(C138-D138;1))</f>
        <v/>
      </c>
    </row>
    <row r="139">
      <c r="A139" s="109">
        <f>DATI!A139</f>
        <v/>
      </c>
      <c r="B139" s="109">
        <f>DATI!B139</f>
        <v/>
      </c>
      <c r="C139" s="109">
        <f>DATI!H139</f>
        <v/>
      </c>
      <c r="D139" s="109">
        <f>SE.ERRORE(CERCA.X(A139;GIACENZA_REALE!A:A;GIACENZA_REALE!C:C);0)</f>
        <v/>
      </c>
      <c r="E139" s="109">
        <f>SE(C139=0;"";D139/C139)</f>
        <v/>
      </c>
      <c r="F139" s="109">
        <f>MAX(0;ARROTONDA.ECCESSO(C139-D139;1))</f>
        <v/>
      </c>
    </row>
    <row r="140">
      <c r="A140" s="109">
        <f>DATI!A140</f>
        <v/>
      </c>
      <c r="B140" s="109">
        <f>DATI!B140</f>
        <v/>
      </c>
      <c r="C140" s="109">
        <f>DATI!H140</f>
        <v/>
      </c>
      <c r="D140" s="109">
        <f>SE.ERRORE(CERCA.X(A140;GIACENZA_REALE!A:A;GIACENZA_REALE!C:C);0)</f>
        <v/>
      </c>
      <c r="E140" s="109">
        <f>SE(C140=0;"";D140/C140)</f>
        <v/>
      </c>
      <c r="F140" s="109">
        <f>MAX(0;ARROTONDA.ECCESSO(C140-D140;1))</f>
        <v/>
      </c>
    </row>
    <row r="141">
      <c r="A141" s="109">
        <f>DATI!A141</f>
        <v/>
      </c>
      <c r="B141" s="109">
        <f>DATI!B141</f>
        <v/>
      </c>
      <c r="C141" s="109">
        <f>DATI!H141</f>
        <v/>
      </c>
      <c r="D141" s="109">
        <f>SE.ERRORE(CERCA.X(A141;GIACENZA_REALE!A:A;GIACENZA_REALE!C:C);0)</f>
        <v/>
      </c>
      <c r="E141" s="109">
        <f>SE(C141=0;"";D141/C141)</f>
        <v/>
      </c>
      <c r="F141" s="109">
        <f>MAX(0;ARROTONDA.ECCESSO(C141-D141;1))</f>
        <v/>
      </c>
    </row>
    <row r="142">
      <c r="A142" s="109">
        <f>DATI!A142</f>
        <v/>
      </c>
      <c r="B142" s="109">
        <f>DATI!B142</f>
        <v/>
      </c>
      <c r="C142" s="109">
        <f>DATI!H142</f>
        <v/>
      </c>
      <c r="D142" s="109">
        <f>SE.ERRORE(CERCA.X(A142;GIACENZA_REALE!A:A;GIACENZA_REALE!C:C);0)</f>
        <v/>
      </c>
      <c r="E142" s="109">
        <f>SE(C142=0;"";D142/C142)</f>
        <v/>
      </c>
      <c r="F142" s="109">
        <f>MAX(0;ARROTONDA.ECCESSO(C142-D142;1))</f>
        <v/>
      </c>
    </row>
    <row r="143">
      <c r="A143" s="109">
        <f>DATI!A143</f>
        <v/>
      </c>
      <c r="B143" s="109">
        <f>DATI!B143</f>
        <v/>
      </c>
      <c r="C143" s="109">
        <f>DATI!H143</f>
        <v/>
      </c>
      <c r="D143" s="109">
        <f>SE.ERRORE(CERCA.X(A143;GIACENZA_REALE!A:A;GIACENZA_REALE!C:C);0)</f>
        <v/>
      </c>
      <c r="E143" s="109">
        <f>SE(C143=0;"";D143/C143)</f>
        <v/>
      </c>
      <c r="F143" s="109">
        <f>MAX(0;ARROTONDA.ECCESSO(C143-D143;1))</f>
        <v/>
      </c>
    </row>
    <row r="144">
      <c r="A144" s="109">
        <f>DATI!A144</f>
        <v/>
      </c>
      <c r="B144" s="109">
        <f>DATI!B144</f>
        <v/>
      </c>
      <c r="C144" s="109">
        <f>DATI!H144</f>
        <v/>
      </c>
      <c r="D144" s="109">
        <f>SE.ERRORE(CERCA.X(A144;GIACENZA_REALE!A:A;GIACENZA_REALE!C:C);0)</f>
        <v/>
      </c>
      <c r="E144" s="109">
        <f>SE(C144=0;"";D144/C144)</f>
        <v/>
      </c>
      <c r="F144" s="109">
        <f>MAX(0;ARROTONDA.ECCESSO(C144-D144;1))</f>
        <v/>
      </c>
    </row>
    <row r="145">
      <c r="A145" s="109">
        <f>DATI!A145</f>
        <v/>
      </c>
      <c r="B145" s="109">
        <f>DATI!B145</f>
        <v/>
      </c>
      <c r="C145" s="109">
        <f>DATI!H145</f>
        <v/>
      </c>
      <c r="D145" s="109">
        <f>SE.ERRORE(CERCA.X(A145;GIACENZA_REALE!A:A;GIACENZA_REALE!C:C);0)</f>
        <v/>
      </c>
      <c r="E145" s="109">
        <f>SE(C145=0;"";D145/C145)</f>
        <v/>
      </c>
      <c r="F145" s="109">
        <f>MAX(0;ARROTONDA.ECCESSO(C145-D145;1))</f>
        <v/>
      </c>
    </row>
    <row r="146">
      <c r="A146" s="109">
        <f>DATI!A146</f>
        <v/>
      </c>
      <c r="B146" s="109">
        <f>DATI!B146</f>
        <v/>
      </c>
      <c r="C146" s="109">
        <f>DATI!H146</f>
        <v/>
      </c>
      <c r="D146" s="109">
        <f>SE.ERRORE(CERCA.X(A146;GIACENZA_REALE!A:A;GIACENZA_REALE!C:C);0)</f>
        <v/>
      </c>
      <c r="E146" s="109">
        <f>SE(C146=0;"";D146/C146)</f>
        <v/>
      </c>
      <c r="F146" s="109">
        <f>MAX(0;ARROTONDA.ECCESSO(C146-D146;1))</f>
        <v/>
      </c>
    </row>
    <row r="147">
      <c r="A147" s="109">
        <f>DATI!A147</f>
        <v/>
      </c>
      <c r="B147" s="109">
        <f>DATI!B147</f>
        <v/>
      </c>
      <c r="C147" s="109">
        <f>DATI!H147</f>
        <v/>
      </c>
      <c r="D147" s="109">
        <f>SE.ERRORE(CERCA.X(A147;GIACENZA_REALE!A:A;GIACENZA_REALE!C:C);0)</f>
        <v/>
      </c>
      <c r="E147" s="109">
        <f>SE(C147=0;"";D147/C147)</f>
        <v/>
      </c>
      <c r="F147" s="109">
        <f>MAX(0;ARROTONDA.ECCESSO(C147-D147;1))</f>
        <v/>
      </c>
    </row>
    <row r="148">
      <c r="A148" s="109">
        <f>DATI!A148</f>
        <v/>
      </c>
      <c r="B148" s="109">
        <f>DATI!B148</f>
        <v/>
      </c>
      <c r="C148" s="109">
        <f>DATI!H148</f>
        <v/>
      </c>
      <c r="D148" s="109">
        <f>SE.ERRORE(CERCA.X(A148;GIACENZA_REALE!A:A;GIACENZA_REALE!C:C);0)</f>
        <v/>
      </c>
      <c r="E148" s="109">
        <f>SE(C148=0;"";D148/C148)</f>
        <v/>
      </c>
      <c r="F148" s="109">
        <f>MAX(0;ARROTONDA.ECCESSO(C148-D148;1))</f>
        <v/>
      </c>
    </row>
    <row r="149">
      <c r="A149" s="109">
        <f>DATI!A149</f>
        <v/>
      </c>
      <c r="B149" s="109">
        <f>DATI!B149</f>
        <v/>
      </c>
      <c r="C149" s="109">
        <f>DATI!H149</f>
        <v/>
      </c>
      <c r="D149" s="109">
        <f>SE.ERRORE(CERCA.X(A149;GIACENZA_REALE!A:A;GIACENZA_REALE!C:C);0)</f>
        <v/>
      </c>
      <c r="E149" s="109">
        <f>SE(C149=0;"";D149/C149)</f>
        <v/>
      </c>
      <c r="F149" s="109">
        <f>MAX(0;ARROTONDA.ECCESSO(C149-D149;1))</f>
        <v/>
      </c>
    </row>
    <row r="150">
      <c r="A150" s="109">
        <f>DATI!A150</f>
        <v/>
      </c>
      <c r="B150" s="109">
        <f>DATI!B150</f>
        <v/>
      </c>
      <c r="C150" s="109">
        <f>DATI!H150</f>
        <v/>
      </c>
      <c r="D150" s="109">
        <f>SE.ERRORE(CERCA.X(A150;GIACENZA_REALE!A:A;GIACENZA_REALE!C:C);0)</f>
        <v/>
      </c>
      <c r="E150" s="109">
        <f>SE(C150=0;"";D150/C150)</f>
        <v/>
      </c>
      <c r="F150" s="109">
        <f>MAX(0;ARROTONDA.ECCESSO(C150-D150;1))</f>
        <v/>
      </c>
    </row>
    <row r="151">
      <c r="A151" s="109">
        <f>DATI!A151</f>
        <v/>
      </c>
      <c r="B151" s="109">
        <f>DATI!B151</f>
        <v/>
      </c>
      <c r="C151" s="109">
        <f>DATI!H151</f>
        <v/>
      </c>
      <c r="D151" s="109">
        <f>SE.ERRORE(CERCA.X(A151;GIACENZA_REALE!A:A;GIACENZA_REALE!C:C);0)</f>
        <v/>
      </c>
      <c r="E151" s="109">
        <f>SE(C151=0;"";D151/C151)</f>
        <v/>
      </c>
      <c r="F151" s="109">
        <f>MAX(0;ARROTONDA.ECCESSO(C151-D151;1))</f>
        <v/>
      </c>
    </row>
    <row r="152">
      <c r="A152" s="109">
        <f>DATI!A152</f>
        <v/>
      </c>
      <c r="B152" s="109">
        <f>DATI!B152</f>
        <v/>
      </c>
      <c r="C152" s="109">
        <f>DATI!H152</f>
        <v/>
      </c>
      <c r="D152" s="109">
        <f>SE.ERRORE(CERCA.X(A152;GIACENZA_REALE!A:A;GIACENZA_REALE!C:C);0)</f>
        <v/>
      </c>
      <c r="E152" s="109">
        <f>SE(C152=0;"";D152/C152)</f>
        <v/>
      </c>
      <c r="F152" s="109">
        <f>MAX(0;ARROTONDA.ECCESSO(C152-D152;1))</f>
        <v/>
      </c>
    </row>
    <row r="153">
      <c r="A153" s="109">
        <f>DATI!A153</f>
        <v/>
      </c>
      <c r="B153" s="109">
        <f>DATI!B153</f>
        <v/>
      </c>
      <c r="C153" s="109">
        <f>DATI!H153</f>
        <v/>
      </c>
      <c r="D153" s="109">
        <f>SE.ERRORE(CERCA.X(A153;GIACENZA_REALE!A:A;GIACENZA_REALE!C:C);0)</f>
        <v/>
      </c>
      <c r="E153" s="109">
        <f>SE(C153=0;"";D153/C153)</f>
        <v/>
      </c>
      <c r="F153" s="109">
        <f>MAX(0;ARROTONDA.ECCESSO(C153-D153;1))</f>
        <v/>
      </c>
    </row>
    <row r="154">
      <c r="A154" s="109">
        <f>DATI!A154</f>
        <v/>
      </c>
      <c r="B154" s="109">
        <f>DATI!B154</f>
        <v/>
      </c>
      <c r="C154" s="109">
        <f>DATI!H154</f>
        <v/>
      </c>
      <c r="D154" s="109">
        <f>SE.ERRORE(CERCA.X(A154;GIACENZA_REALE!A:A;GIACENZA_REALE!C:C);0)</f>
        <v/>
      </c>
      <c r="E154" s="109">
        <f>SE(C154=0;"";D154/C154)</f>
        <v/>
      </c>
      <c r="F154" s="109">
        <f>MAX(0;ARROTONDA.ECCESSO(C154-D154;1))</f>
        <v/>
      </c>
    </row>
    <row r="155">
      <c r="A155" s="109">
        <f>DATI!A155</f>
        <v/>
      </c>
      <c r="B155" s="109">
        <f>DATI!B155</f>
        <v/>
      </c>
      <c r="C155" s="109">
        <f>DATI!H155</f>
        <v/>
      </c>
      <c r="D155" s="109">
        <f>SE.ERRORE(CERCA.X(A155;GIACENZA_REALE!A:A;GIACENZA_REALE!C:C);0)</f>
        <v/>
      </c>
      <c r="E155" s="109">
        <f>SE(C155=0;"";D155/C155)</f>
        <v/>
      </c>
      <c r="F155" s="109">
        <f>MAX(0;ARROTONDA.ECCESSO(C155-D155;1))</f>
        <v/>
      </c>
    </row>
    <row r="156">
      <c r="A156" s="109">
        <f>DATI!A156</f>
        <v/>
      </c>
      <c r="B156" s="109">
        <f>DATI!B156</f>
        <v/>
      </c>
      <c r="C156" s="109">
        <f>DATI!H156</f>
        <v/>
      </c>
      <c r="D156" s="109">
        <f>SE.ERRORE(CERCA.X(A156;GIACENZA_REALE!A:A;GIACENZA_REALE!C:C);0)</f>
        <v/>
      </c>
      <c r="E156" s="109">
        <f>SE(C156=0;"";D156/C156)</f>
        <v/>
      </c>
      <c r="F156" s="109">
        <f>MAX(0;ARROTONDA.ECCESSO(C156-D156;1))</f>
        <v/>
      </c>
    </row>
    <row r="157">
      <c r="A157" s="109">
        <f>DATI!A157</f>
        <v/>
      </c>
      <c r="B157" s="109">
        <f>DATI!B157</f>
        <v/>
      </c>
      <c r="C157" s="109">
        <f>DATI!H157</f>
        <v/>
      </c>
      <c r="D157" s="109">
        <f>SE.ERRORE(CERCA.X(A157;GIACENZA_REALE!A:A;GIACENZA_REALE!C:C);0)</f>
        <v/>
      </c>
      <c r="E157" s="109">
        <f>SE(C157=0;"";D157/C157)</f>
        <v/>
      </c>
      <c r="F157" s="109">
        <f>MAX(0;ARROTONDA.ECCESSO(C157-D157;1))</f>
        <v/>
      </c>
    </row>
    <row r="158">
      <c r="A158" s="109">
        <f>DATI!A158</f>
        <v/>
      </c>
      <c r="B158" s="109">
        <f>DATI!B158</f>
        <v/>
      </c>
      <c r="C158" s="109">
        <f>DATI!H158</f>
        <v/>
      </c>
      <c r="D158" s="109">
        <f>SE.ERRORE(CERCA.X(A158;GIACENZA_REALE!A:A;GIACENZA_REALE!C:C);0)</f>
        <v/>
      </c>
      <c r="E158" s="109">
        <f>SE(C158=0;"";D158/C158)</f>
        <v/>
      </c>
      <c r="F158" s="109">
        <f>MAX(0;ARROTONDA.ECCESSO(C158-D158;1))</f>
        <v/>
      </c>
    </row>
    <row r="159">
      <c r="A159" s="109">
        <f>DATI!A159</f>
        <v/>
      </c>
      <c r="B159" s="109">
        <f>DATI!B159</f>
        <v/>
      </c>
      <c r="C159" s="109">
        <f>DATI!H159</f>
        <v/>
      </c>
      <c r="D159" s="109">
        <f>SE.ERRORE(CERCA.X(A159;GIACENZA_REALE!A:A;GIACENZA_REALE!C:C);0)</f>
        <v/>
      </c>
      <c r="E159" s="109">
        <f>SE(C159=0;"";D159/C159)</f>
        <v/>
      </c>
      <c r="F159" s="109">
        <f>MAX(0;ARROTONDA.ECCESSO(C159-D159;1))</f>
        <v/>
      </c>
    </row>
    <row r="160">
      <c r="A160" s="109">
        <f>DATI!A160</f>
        <v/>
      </c>
      <c r="B160" s="109">
        <f>DATI!B160</f>
        <v/>
      </c>
      <c r="C160" s="109">
        <f>DATI!H160</f>
        <v/>
      </c>
      <c r="D160" s="109">
        <f>SE.ERRORE(CERCA.X(A160;GIACENZA_REALE!A:A;GIACENZA_REALE!C:C);0)</f>
        <v/>
      </c>
      <c r="E160" s="109">
        <f>SE(C160=0;"";D160/C160)</f>
        <v/>
      </c>
      <c r="F160" s="109">
        <f>MAX(0;ARROTONDA.ECCESSO(C160-D160;1))</f>
        <v/>
      </c>
    </row>
    <row r="161">
      <c r="A161" s="109">
        <f>DATI!A161</f>
        <v/>
      </c>
      <c r="B161" s="109">
        <f>DATI!B161</f>
        <v/>
      </c>
      <c r="C161" s="109">
        <f>DATI!H161</f>
        <v/>
      </c>
      <c r="D161" s="109">
        <f>SE.ERRORE(CERCA.X(A161;GIACENZA_REALE!A:A;GIACENZA_REALE!C:C);0)</f>
        <v/>
      </c>
      <c r="E161" s="109">
        <f>SE(C161=0;"";D161/C161)</f>
        <v/>
      </c>
      <c r="F161" s="109">
        <f>MAX(0;ARROTONDA.ECCESSO(C161-D161;1))</f>
        <v/>
      </c>
    </row>
    <row r="162">
      <c r="A162" s="109">
        <f>DATI!A162</f>
        <v/>
      </c>
      <c r="B162" s="109">
        <f>DATI!B162</f>
        <v/>
      </c>
      <c r="C162" s="109">
        <f>DATI!H162</f>
        <v/>
      </c>
      <c r="D162" s="109">
        <f>SE.ERRORE(CERCA.X(A162;GIACENZA_REALE!A:A;GIACENZA_REALE!C:C);0)</f>
        <v/>
      </c>
      <c r="E162" s="109">
        <f>SE(C162=0;"";D162/C162)</f>
        <v/>
      </c>
      <c r="F162" s="109">
        <f>MAX(0;ARROTONDA.ECCESSO(C162-D162;1))</f>
        <v/>
      </c>
    </row>
    <row r="163">
      <c r="A163" s="109">
        <f>DATI!A163</f>
        <v/>
      </c>
      <c r="B163" s="109">
        <f>DATI!B163</f>
        <v/>
      </c>
      <c r="C163" s="109">
        <f>DATI!H163</f>
        <v/>
      </c>
      <c r="D163" s="109">
        <f>SE.ERRORE(CERCA.X(A163;GIACENZA_REALE!A:A;GIACENZA_REALE!C:C);0)</f>
        <v/>
      </c>
      <c r="E163" s="109">
        <f>SE(C163=0;"";D163/C163)</f>
        <v/>
      </c>
      <c r="F163" s="109">
        <f>MAX(0;ARROTONDA.ECCESSO(C163-D163;1))</f>
        <v/>
      </c>
    </row>
    <row r="164">
      <c r="A164" s="109">
        <f>DATI!A164</f>
        <v/>
      </c>
      <c r="B164" s="109">
        <f>DATI!B164</f>
        <v/>
      </c>
      <c r="C164" s="109">
        <f>DATI!H164</f>
        <v/>
      </c>
      <c r="D164" s="109">
        <f>SE.ERRORE(CERCA.X(A164;GIACENZA_REALE!A:A;GIACENZA_REALE!C:C);0)</f>
        <v/>
      </c>
      <c r="E164" s="109">
        <f>SE(C164=0;"";D164/C164)</f>
        <v/>
      </c>
      <c r="F164" s="109">
        <f>MAX(0;ARROTONDA.ECCESSO(C164-D164;1))</f>
        <v/>
      </c>
    </row>
    <row r="165">
      <c r="A165" s="109">
        <f>DATI!A165</f>
        <v/>
      </c>
      <c r="B165" s="109">
        <f>DATI!B165</f>
        <v/>
      </c>
      <c r="C165" s="109">
        <f>DATI!H165</f>
        <v/>
      </c>
      <c r="D165" s="109">
        <f>SE.ERRORE(CERCA.X(A165;GIACENZA_REALE!A:A;GIACENZA_REALE!C:C);0)</f>
        <v/>
      </c>
      <c r="E165" s="109">
        <f>SE(C165=0;"";D165/C165)</f>
        <v/>
      </c>
      <c r="F165" s="109">
        <f>MAX(0;ARROTONDA.ECCESSO(C165-D165;1))</f>
        <v/>
      </c>
    </row>
    <row r="166">
      <c r="A166" s="109">
        <f>DATI!A166</f>
        <v/>
      </c>
      <c r="B166" s="109">
        <f>DATI!B166</f>
        <v/>
      </c>
      <c r="C166" s="109">
        <f>DATI!H166</f>
        <v/>
      </c>
      <c r="D166" s="109">
        <f>SE.ERRORE(CERCA.X(A166;GIACENZA_REALE!A:A;GIACENZA_REALE!C:C);0)</f>
        <v/>
      </c>
      <c r="E166" s="109">
        <f>SE(C166=0;"";D166/C166)</f>
        <v/>
      </c>
      <c r="F166" s="109">
        <f>MAX(0;ARROTONDA.ECCESSO(C166-D166;1))</f>
        <v/>
      </c>
    </row>
    <row r="167">
      <c r="A167" s="109">
        <f>DATI!A167</f>
        <v/>
      </c>
      <c r="B167" s="109">
        <f>DATI!B167</f>
        <v/>
      </c>
      <c r="C167" s="109">
        <f>DATI!H167</f>
        <v/>
      </c>
      <c r="D167" s="109">
        <f>SE.ERRORE(CERCA.X(A167;GIACENZA_REALE!A:A;GIACENZA_REALE!C:C);0)</f>
        <v/>
      </c>
      <c r="E167" s="109">
        <f>SE(C167=0;"";D167/C167)</f>
        <v/>
      </c>
      <c r="F167" s="109">
        <f>MAX(0;ARROTONDA.ECCESSO(C167-D167;1))</f>
        <v/>
      </c>
    </row>
    <row r="168">
      <c r="A168" s="109">
        <f>DATI!A168</f>
        <v/>
      </c>
      <c r="B168" s="109">
        <f>DATI!B168</f>
        <v/>
      </c>
      <c r="C168" s="109">
        <f>DATI!H168</f>
        <v/>
      </c>
      <c r="D168" s="109">
        <f>SE.ERRORE(CERCA.X(A168;GIACENZA_REALE!A:A;GIACENZA_REALE!C:C);0)</f>
        <v/>
      </c>
      <c r="E168" s="109">
        <f>SE(C168=0;"";D168/C168)</f>
        <v/>
      </c>
      <c r="F168" s="109">
        <f>MAX(0;ARROTONDA.ECCESSO(C168-D168;1))</f>
        <v/>
      </c>
    </row>
    <row r="169">
      <c r="A169" s="109">
        <f>DATI!A169</f>
        <v/>
      </c>
      <c r="B169" s="109">
        <f>DATI!B169</f>
        <v/>
      </c>
      <c r="C169" s="109">
        <f>DATI!H169</f>
        <v/>
      </c>
      <c r="D169" s="109">
        <f>SE.ERRORE(CERCA.X(A169;GIACENZA_REALE!A:A;GIACENZA_REALE!C:C);0)</f>
        <v/>
      </c>
      <c r="E169" s="109">
        <f>SE(C169=0;"";D169/C169)</f>
        <v/>
      </c>
      <c r="F169" s="109">
        <f>MAX(0;ARROTONDA.ECCESSO(C169-D169;1))</f>
        <v/>
      </c>
    </row>
    <row r="170">
      <c r="A170" s="109">
        <f>DATI!A170</f>
        <v/>
      </c>
      <c r="B170" s="109">
        <f>DATI!B170</f>
        <v/>
      </c>
      <c r="C170" s="109">
        <f>DATI!H170</f>
        <v/>
      </c>
      <c r="D170" s="109">
        <f>SE.ERRORE(CERCA.X(A170;GIACENZA_REALE!A:A;GIACENZA_REALE!C:C);0)</f>
        <v/>
      </c>
      <c r="E170" s="109">
        <f>SE(C170=0;"";D170/C170)</f>
        <v/>
      </c>
      <c r="F170" s="109">
        <f>MAX(0;ARROTONDA.ECCESSO(C170-D170;1))</f>
        <v/>
      </c>
    </row>
    <row r="171">
      <c r="A171" s="109">
        <f>DATI!A171</f>
        <v/>
      </c>
      <c r="B171" s="109">
        <f>DATI!B171</f>
        <v/>
      </c>
      <c r="C171" s="109">
        <f>DATI!H171</f>
        <v/>
      </c>
      <c r="D171" s="109">
        <f>SE.ERRORE(CERCA.X(A171;GIACENZA_REALE!A:A;GIACENZA_REALE!C:C);0)</f>
        <v/>
      </c>
      <c r="E171" s="109">
        <f>SE(C171=0;"";D171/C171)</f>
        <v/>
      </c>
      <c r="F171" s="109">
        <f>MAX(0;ARROTONDA.ECCESSO(C171-D171;1))</f>
        <v/>
      </c>
    </row>
    <row r="172">
      <c r="A172" s="109">
        <f>DATI!A172</f>
        <v/>
      </c>
      <c r="B172" s="109">
        <f>DATI!B172</f>
        <v/>
      </c>
      <c r="C172" s="109">
        <f>DATI!H172</f>
        <v/>
      </c>
      <c r="D172" s="109">
        <f>SE.ERRORE(CERCA.X(A172;GIACENZA_REALE!A:A;GIACENZA_REALE!C:C);0)</f>
        <v/>
      </c>
      <c r="E172" s="109">
        <f>SE(C172=0;"";D172/C172)</f>
        <v/>
      </c>
      <c r="F172" s="109">
        <f>MAX(0;ARROTONDA.ECCESSO(C172-D172;1))</f>
        <v/>
      </c>
    </row>
    <row r="173">
      <c r="A173" s="109">
        <f>DATI!A173</f>
        <v/>
      </c>
      <c r="B173" s="109">
        <f>DATI!B173</f>
        <v/>
      </c>
      <c r="C173" s="109">
        <f>DATI!H173</f>
        <v/>
      </c>
      <c r="D173" s="109">
        <f>SE.ERRORE(CERCA.X(A173;GIACENZA_REALE!A:A;GIACENZA_REALE!C:C);0)</f>
        <v/>
      </c>
      <c r="E173" s="109">
        <f>SE(C173=0;"";D173/C173)</f>
        <v/>
      </c>
      <c r="F173" s="109">
        <f>MAX(0;ARROTONDA.ECCESSO(C173-D173;1))</f>
        <v/>
      </c>
    </row>
    <row r="174">
      <c r="A174" s="109">
        <f>DATI!A174</f>
        <v/>
      </c>
      <c r="B174" s="109">
        <f>DATI!B174</f>
        <v/>
      </c>
      <c r="C174" s="109">
        <f>DATI!H174</f>
        <v/>
      </c>
      <c r="D174" s="109">
        <f>SE.ERRORE(CERCA.X(A174;GIACENZA_REALE!A:A;GIACENZA_REALE!C:C);0)</f>
        <v/>
      </c>
      <c r="E174" s="109">
        <f>SE(C174=0;"";D174/C174)</f>
        <v/>
      </c>
      <c r="F174" s="109">
        <f>MAX(0;ARROTONDA.ECCESSO(C174-D174;1))</f>
        <v/>
      </c>
    </row>
    <row r="175">
      <c r="A175" s="109">
        <f>DATI!A175</f>
        <v/>
      </c>
      <c r="B175" s="109">
        <f>DATI!B175</f>
        <v/>
      </c>
      <c r="C175" s="109">
        <f>DATI!H175</f>
        <v/>
      </c>
      <c r="D175" s="109">
        <f>SE.ERRORE(CERCA.X(A175;GIACENZA_REALE!A:A;GIACENZA_REALE!C:C);0)</f>
        <v/>
      </c>
      <c r="E175" s="109">
        <f>SE(C175=0;"";D175/C175)</f>
        <v/>
      </c>
      <c r="F175" s="109">
        <f>MAX(0;ARROTONDA.ECCESSO(C175-D175;1))</f>
        <v/>
      </c>
    </row>
    <row r="176">
      <c r="A176" s="109">
        <f>DATI!A176</f>
        <v/>
      </c>
      <c r="B176" s="109">
        <f>DATI!B176</f>
        <v/>
      </c>
      <c r="C176" s="109">
        <f>DATI!H176</f>
        <v/>
      </c>
      <c r="D176" s="109">
        <f>SE.ERRORE(CERCA.X(A176;GIACENZA_REALE!A:A;GIACENZA_REALE!C:C);0)</f>
        <v/>
      </c>
      <c r="E176" s="109">
        <f>SE(C176=0;"";D176/C176)</f>
        <v/>
      </c>
      <c r="F176" s="109">
        <f>MAX(0;ARROTONDA.ECCESSO(C176-D176;1))</f>
        <v/>
      </c>
    </row>
    <row r="177">
      <c r="A177" s="109">
        <f>DATI!A177</f>
        <v/>
      </c>
      <c r="B177" s="109">
        <f>DATI!B177</f>
        <v/>
      </c>
      <c r="C177" s="109">
        <f>DATI!H177</f>
        <v/>
      </c>
      <c r="D177" s="109">
        <f>SE.ERRORE(CERCA.X(A177;GIACENZA_REALE!A:A;GIACENZA_REALE!C:C);0)</f>
        <v/>
      </c>
      <c r="E177" s="109">
        <f>SE(C177=0;"";D177/C177)</f>
        <v/>
      </c>
      <c r="F177" s="109">
        <f>MAX(0;ARROTONDA.ECCESSO(C177-D177;1))</f>
        <v/>
      </c>
    </row>
    <row r="178">
      <c r="A178" s="109">
        <f>DATI!A178</f>
        <v/>
      </c>
      <c r="B178" s="109">
        <f>DATI!B178</f>
        <v/>
      </c>
      <c r="C178" s="109">
        <f>DATI!H178</f>
        <v/>
      </c>
      <c r="D178" s="109">
        <f>SE.ERRORE(CERCA.X(A178;GIACENZA_REALE!A:A;GIACENZA_REALE!C:C);0)</f>
        <v/>
      </c>
      <c r="E178" s="109">
        <f>SE(C178=0;"";D178/C178)</f>
        <v/>
      </c>
      <c r="F178" s="109">
        <f>MAX(0;ARROTONDA.ECCESSO(C178-D178;1))</f>
        <v/>
      </c>
    </row>
    <row r="179">
      <c r="A179" s="109">
        <f>DATI!A179</f>
        <v/>
      </c>
      <c r="B179" s="109">
        <f>DATI!B179</f>
        <v/>
      </c>
      <c r="C179" s="109">
        <f>DATI!H179</f>
        <v/>
      </c>
      <c r="D179" s="109">
        <f>SE.ERRORE(CERCA.X(A179;GIACENZA_REALE!A:A;GIACENZA_REALE!C:C);0)</f>
        <v/>
      </c>
      <c r="E179" s="109">
        <f>SE(C179=0;"";D179/C179)</f>
        <v/>
      </c>
      <c r="F179" s="109">
        <f>MAX(0;ARROTONDA.ECCESSO(C179-D179;1))</f>
        <v/>
      </c>
    </row>
    <row r="180">
      <c r="A180" s="109">
        <f>DATI!A180</f>
        <v/>
      </c>
      <c r="B180" s="109">
        <f>DATI!B180</f>
        <v/>
      </c>
      <c r="C180" s="109">
        <f>DATI!H180</f>
        <v/>
      </c>
      <c r="D180" s="109">
        <f>SE.ERRORE(CERCA.X(A180;GIACENZA_REALE!A:A;GIACENZA_REALE!C:C);0)</f>
        <v/>
      </c>
      <c r="E180" s="109">
        <f>SE(C180=0;"";D180/C180)</f>
        <v/>
      </c>
      <c r="F180" s="109">
        <f>MAX(0;ARROTONDA.ECCESSO(C180-D180;1))</f>
        <v/>
      </c>
    </row>
    <row r="181">
      <c r="A181" s="109">
        <f>DATI!A181</f>
        <v/>
      </c>
      <c r="B181" s="109">
        <f>DATI!B181</f>
        <v/>
      </c>
      <c r="C181" s="109">
        <f>DATI!H181</f>
        <v/>
      </c>
      <c r="D181" s="109">
        <f>SE.ERRORE(CERCA.X(A181;GIACENZA_REALE!A:A;GIACENZA_REALE!C:C);0)</f>
        <v/>
      </c>
      <c r="E181" s="109">
        <f>SE(C181=0;"";D181/C181)</f>
        <v/>
      </c>
      <c r="F181" s="109">
        <f>MAX(0;ARROTONDA.ECCESSO(C181-D181;1))</f>
        <v/>
      </c>
    </row>
    <row r="182">
      <c r="A182" s="109">
        <f>DATI!A182</f>
        <v/>
      </c>
      <c r="B182" s="109">
        <f>DATI!B182</f>
        <v/>
      </c>
      <c r="C182" s="109">
        <f>DATI!H182</f>
        <v/>
      </c>
      <c r="D182" s="109">
        <f>SE.ERRORE(CERCA.X(A182;GIACENZA_REALE!A:A;GIACENZA_REALE!C:C);0)</f>
        <v/>
      </c>
      <c r="E182" s="109">
        <f>SE(C182=0;"";D182/C182)</f>
        <v/>
      </c>
      <c r="F182" s="109">
        <f>MAX(0;ARROTONDA.ECCESSO(C182-D182;1))</f>
        <v/>
      </c>
    </row>
    <row r="183">
      <c r="A183" s="109">
        <f>DATI!A183</f>
        <v/>
      </c>
      <c r="B183" s="109">
        <f>DATI!B183</f>
        <v/>
      </c>
      <c r="C183" s="109">
        <f>DATI!H183</f>
        <v/>
      </c>
      <c r="D183" s="109">
        <f>SE.ERRORE(CERCA.X(A183;GIACENZA_REALE!A:A;GIACENZA_REALE!C:C);0)</f>
        <v/>
      </c>
      <c r="E183" s="109">
        <f>SE(C183=0;"";D183/C183)</f>
        <v/>
      </c>
      <c r="F183" s="109">
        <f>MAX(0;ARROTONDA.ECCESSO(C183-D183;1))</f>
        <v/>
      </c>
    </row>
    <row r="184">
      <c r="A184" s="109">
        <f>DATI!A184</f>
        <v/>
      </c>
      <c r="B184" s="109">
        <f>DATI!B184</f>
        <v/>
      </c>
      <c r="C184" s="109">
        <f>DATI!H184</f>
        <v/>
      </c>
      <c r="D184" s="109">
        <f>SE.ERRORE(CERCA.X(A184;GIACENZA_REALE!A:A;GIACENZA_REALE!C:C);0)</f>
        <v/>
      </c>
      <c r="E184" s="109">
        <f>SE(C184=0;"";D184/C184)</f>
        <v/>
      </c>
      <c r="F184" s="109">
        <f>MAX(0;ARROTONDA.ECCESSO(C184-D184;1))</f>
        <v/>
      </c>
    </row>
    <row r="185">
      <c r="A185" s="109">
        <f>DATI!A185</f>
        <v/>
      </c>
      <c r="B185" s="109">
        <f>DATI!B185</f>
        <v/>
      </c>
      <c r="C185" s="109">
        <f>DATI!H185</f>
        <v/>
      </c>
      <c r="D185" s="109">
        <f>SE.ERRORE(CERCA.X(A185;GIACENZA_REALE!A:A;GIACENZA_REALE!C:C);0)</f>
        <v/>
      </c>
      <c r="E185" s="109">
        <f>SE(C185=0;"";D185/C185)</f>
        <v/>
      </c>
      <c r="F185" s="109">
        <f>MAX(0;ARROTONDA.ECCESSO(C185-D185;1))</f>
        <v/>
      </c>
    </row>
    <row r="186">
      <c r="A186" s="109">
        <f>DATI!A186</f>
        <v/>
      </c>
      <c r="B186" s="109">
        <f>DATI!B186</f>
        <v/>
      </c>
      <c r="C186" s="109">
        <f>DATI!H186</f>
        <v/>
      </c>
      <c r="D186" s="109">
        <f>SE.ERRORE(CERCA.X(A186;GIACENZA_REALE!A:A;GIACENZA_REALE!C:C);0)</f>
        <v/>
      </c>
      <c r="E186" s="109">
        <f>SE(C186=0;"";D186/C186)</f>
        <v/>
      </c>
      <c r="F186" s="109">
        <f>MAX(0;ARROTONDA.ECCESSO(C186-D186;1))</f>
        <v/>
      </c>
    </row>
    <row r="187">
      <c r="A187" s="109">
        <f>DATI!A187</f>
        <v/>
      </c>
      <c r="B187" s="109">
        <f>DATI!B187</f>
        <v/>
      </c>
      <c r="C187" s="109">
        <f>DATI!H187</f>
        <v/>
      </c>
      <c r="D187" s="109">
        <f>SE.ERRORE(CERCA.X(A187;GIACENZA_REALE!A:A;GIACENZA_REALE!C:C);0)</f>
        <v/>
      </c>
      <c r="E187" s="109">
        <f>SE(C187=0;"";D187/C187)</f>
        <v/>
      </c>
      <c r="F187" s="109">
        <f>MAX(0;ARROTONDA.ECCESSO(C187-D187;1))</f>
        <v/>
      </c>
    </row>
    <row r="188">
      <c r="A188" s="109">
        <f>DATI!A188</f>
        <v/>
      </c>
      <c r="B188" s="109">
        <f>DATI!B188</f>
        <v/>
      </c>
      <c r="C188" s="109">
        <f>DATI!H188</f>
        <v/>
      </c>
      <c r="D188" s="109">
        <f>SE.ERRORE(CERCA.X(A188;GIACENZA_REALE!A:A;GIACENZA_REALE!C:C);0)</f>
        <v/>
      </c>
      <c r="E188" s="109">
        <f>SE(C188=0;"";D188/C188)</f>
        <v/>
      </c>
      <c r="F188" s="109">
        <f>MAX(0;ARROTONDA.ECCESSO(C188-D188;1))</f>
        <v/>
      </c>
    </row>
    <row r="189">
      <c r="A189" s="109">
        <f>DATI!A189</f>
        <v/>
      </c>
      <c r="B189" s="109">
        <f>DATI!B189</f>
        <v/>
      </c>
      <c r="C189" s="109">
        <f>DATI!H189</f>
        <v/>
      </c>
      <c r="D189" s="109">
        <f>SE.ERRORE(CERCA.X(A189;GIACENZA_REALE!A:A;GIACENZA_REALE!C:C);0)</f>
        <v/>
      </c>
      <c r="E189" s="109">
        <f>SE(C189=0;"";D189/C189)</f>
        <v/>
      </c>
      <c r="F189" s="109">
        <f>MAX(0;ARROTONDA.ECCESSO(C189-D189;1))</f>
        <v/>
      </c>
    </row>
    <row r="190">
      <c r="A190" s="109">
        <f>DATI!A190</f>
        <v/>
      </c>
      <c r="B190" s="109">
        <f>DATI!B190</f>
        <v/>
      </c>
      <c r="C190" s="109">
        <f>DATI!H190</f>
        <v/>
      </c>
      <c r="D190" s="109">
        <f>SE.ERRORE(CERCA.X(A190;GIACENZA_REALE!A:A;GIACENZA_REALE!C:C);0)</f>
        <v/>
      </c>
      <c r="E190" s="109">
        <f>SE(C190=0;"";D190/C190)</f>
        <v/>
      </c>
      <c r="F190" s="109">
        <f>MAX(0;ARROTONDA.ECCESSO(C190-D190;1))</f>
        <v/>
      </c>
    </row>
    <row r="191">
      <c r="A191" s="109">
        <f>DATI!A191</f>
        <v/>
      </c>
      <c r="B191" s="109">
        <f>DATI!B191</f>
        <v/>
      </c>
      <c r="C191" s="109">
        <f>DATI!H191</f>
        <v/>
      </c>
      <c r="D191" s="109">
        <f>SE.ERRORE(CERCA.X(A191;GIACENZA_REALE!A:A;GIACENZA_REALE!C:C);0)</f>
        <v/>
      </c>
      <c r="E191" s="109">
        <f>SE(C191=0;"";D191/C191)</f>
        <v/>
      </c>
      <c r="F191" s="109">
        <f>MAX(0;ARROTONDA.ECCESSO(C191-D191;1))</f>
        <v/>
      </c>
    </row>
    <row r="192">
      <c r="A192" s="109">
        <f>DATI!A192</f>
        <v/>
      </c>
      <c r="B192" s="109">
        <f>DATI!B192</f>
        <v/>
      </c>
      <c r="C192" s="109">
        <f>DATI!H192</f>
        <v/>
      </c>
      <c r="D192" s="109">
        <f>SE.ERRORE(CERCA.X(A192;GIACENZA_REALE!A:A;GIACENZA_REALE!C:C);0)</f>
        <v/>
      </c>
      <c r="E192" s="109">
        <f>SE(C192=0;"";D192/C192)</f>
        <v/>
      </c>
      <c r="F192" s="109">
        <f>MAX(0;ARROTONDA.ECCESSO(C192-D192;1))</f>
        <v/>
      </c>
    </row>
    <row r="193">
      <c r="A193" s="109">
        <f>DATI!A193</f>
        <v/>
      </c>
      <c r="B193" s="109">
        <f>DATI!B193</f>
        <v/>
      </c>
      <c r="C193" s="109">
        <f>DATI!H193</f>
        <v/>
      </c>
      <c r="D193" s="109">
        <f>SE.ERRORE(CERCA.X(A193;GIACENZA_REALE!A:A;GIACENZA_REALE!C:C);0)</f>
        <v/>
      </c>
      <c r="E193" s="109">
        <f>SE(C193=0;"";D193/C193)</f>
        <v/>
      </c>
      <c r="F193" s="109">
        <f>MAX(0;ARROTONDA.ECCESSO(C193-D193;1))</f>
        <v/>
      </c>
    </row>
    <row r="194">
      <c r="A194" s="109">
        <f>DATI!A194</f>
        <v/>
      </c>
      <c r="B194" s="109">
        <f>DATI!B194</f>
        <v/>
      </c>
      <c r="C194" s="109">
        <f>DATI!H194</f>
        <v/>
      </c>
      <c r="D194" s="109">
        <f>SE.ERRORE(CERCA.X(A194;GIACENZA_REALE!A:A;GIACENZA_REALE!C:C);0)</f>
        <v/>
      </c>
      <c r="E194" s="109">
        <f>SE(C194=0;"";D194/C194)</f>
        <v/>
      </c>
      <c r="F194" s="109">
        <f>MAX(0;ARROTONDA.ECCESSO(C194-D194;1))</f>
        <v/>
      </c>
    </row>
    <row r="195">
      <c r="A195" s="109">
        <f>DATI!A195</f>
        <v/>
      </c>
      <c r="B195" s="109">
        <f>DATI!B195</f>
        <v/>
      </c>
      <c r="C195" s="109">
        <f>DATI!H195</f>
        <v/>
      </c>
      <c r="D195" s="109">
        <f>SE.ERRORE(CERCA.X(A195;GIACENZA_REALE!A:A;GIACENZA_REALE!C:C);0)</f>
        <v/>
      </c>
      <c r="E195" s="109">
        <f>SE(C195=0;"";D195/C195)</f>
        <v/>
      </c>
      <c r="F195" s="109">
        <f>MAX(0;ARROTONDA.ECCESSO(C195-D195;1))</f>
        <v/>
      </c>
    </row>
    <row r="196">
      <c r="A196" s="109">
        <f>DATI!A196</f>
        <v/>
      </c>
      <c r="B196" s="109">
        <f>DATI!B196</f>
        <v/>
      </c>
      <c r="C196" s="109">
        <f>DATI!H196</f>
        <v/>
      </c>
      <c r="D196" s="109">
        <f>SE.ERRORE(CERCA.X(A196;GIACENZA_REALE!A:A;GIACENZA_REALE!C:C);0)</f>
        <v/>
      </c>
      <c r="E196" s="109">
        <f>SE(C196=0;"";D196/C196)</f>
        <v/>
      </c>
      <c r="F196" s="109">
        <f>MAX(0;ARROTONDA.ECCESSO(C196-D196;1))</f>
        <v/>
      </c>
    </row>
    <row r="197">
      <c r="A197" s="109">
        <f>DATI!A197</f>
        <v/>
      </c>
      <c r="B197" s="109">
        <f>DATI!B197</f>
        <v/>
      </c>
      <c r="C197" s="109">
        <f>DATI!H197</f>
        <v/>
      </c>
      <c r="D197" s="109">
        <f>SE.ERRORE(CERCA.X(A197;GIACENZA_REALE!A:A;GIACENZA_REALE!C:C);0)</f>
        <v/>
      </c>
      <c r="E197" s="109">
        <f>SE(C197=0;"";D197/C197)</f>
        <v/>
      </c>
      <c r="F197" s="109">
        <f>MAX(0;ARROTONDA.ECCESSO(C197-D197;1))</f>
        <v/>
      </c>
    </row>
    <row r="198">
      <c r="A198" s="109">
        <f>DATI!A198</f>
        <v/>
      </c>
      <c r="B198" s="109">
        <f>DATI!B198</f>
        <v/>
      </c>
      <c r="C198" s="109">
        <f>DATI!H198</f>
        <v/>
      </c>
      <c r="D198" s="109">
        <f>SE.ERRORE(CERCA.X(A198;GIACENZA_REALE!A:A;GIACENZA_REALE!C:C);0)</f>
        <v/>
      </c>
      <c r="E198" s="109">
        <f>SE(C198=0;"";D198/C198)</f>
        <v/>
      </c>
      <c r="F198" s="109">
        <f>MAX(0;ARROTONDA.ECCESSO(C198-D198;1))</f>
        <v/>
      </c>
    </row>
    <row r="199">
      <c r="A199" s="109">
        <f>DATI!A199</f>
        <v/>
      </c>
      <c r="B199" s="109">
        <f>DATI!B199</f>
        <v/>
      </c>
      <c r="C199" s="109">
        <f>DATI!H199</f>
        <v/>
      </c>
      <c r="D199" s="109">
        <f>SE.ERRORE(CERCA.X(A199;GIACENZA_REALE!A:A;GIACENZA_REALE!C:C);0)</f>
        <v/>
      </c>
      <c r="E199" s="109">
        <f>SE(C199=0;"";D199/C199)</f>
        <v/>
      </c>
      <c r="F199" s="109">
        <f>MAX(0;ARROTONDA.ECCESSO(C199-D199;1))</f>
        <v/>
      </c>
    </row>
    <row r="200">
      <c r="A200" s="109">
        <f>DATI!A200</f>
        <v/>
      </c>
      <c r="B200" s="109">
        <f>DATI!B200</f>
        <v/>
      </c>
      <c r="C200" s="109">
        <f>DATI!H200</f>
        <v/>
      </c>
      <c r="D200" s="109">
        <f>SE.ERRORE(CERCA.X(A200;GIACENZA_REALE!A:A;GIACENZA_REALE!C:C);0)</f>
        <v/>
      </c>
      <c r="E200" s="109">
        <f>SE(C200=0;"";D200/C200)</f>
        <v/>
      </c>
      <c r="F200" s="109">
        <f>MAX(0;ARROTONDA.ECCESSO(C200-D200;1))</f>
        <v/>
      </c>
    </row>
    <row r="201">
      <c r="A201" s="109">
        <f>DATI!A201</f>
        <v/>
      </c>
      <c r="B201" s="109">
        <f>DATI!B201</f>
        <v/>
      </c>
      <c r="C201" s="109">
        <f>DATI!H201</f>
        <v/>
      </c>
      <c r="D201" s="109">
        <f>SE.ERRORE(CERCA.X(A201;GIACENZA_REALE!A:A;GIACENZA_REALE!C:C);0)</f>
        <v/>
      </c>
      <c r="E201" s="109">
        <f>SE(C201=0;"";D201/C201)</f>
        <v/>
      </c>
      <c r="F201" s="109">
        <f>MAX(0;ARROTONDA.ECCESSO(C201-D201;1))</f>
        <v/>
      </c>
    </row>
    <row r="202">
      <c r="A202" s="109">
        <f>DATI!A202</f>
        <v/>
      </c>
      <c r="B202" s="109">
        <f>DATI!B202</f>
        <v/>
      </c>
      <c r="C202" s="109">
        <f>DATI!H202</f>
        <v/>
      </c>
      <c r="D202" s="109">
        <f>SE.ERRORE(CERCA.X(A202;GIACENZA_REALE!A:A;GIACENZA_REALE!C:C);0)</f>
        <v/>
      </c>
      <c r="E202" s="109">
        <f>SE(C202=0;"";D202/C202)</f>
        <v/>
      </c>
      <c r="F202" s="109">
        <f>MAX(0;ARROTONDA.ECCESSO(C202-D202;1))</f>
        <v/>
      </c>
    </row>
    <row r="203">
      <c r="A203" s="109">
        <f>DATI!A203</f>
        <v/>
      </c>
      <c r="B203" s="109">
        <f>DATI!B203</f>
        <v/>
      </c>
      <c r="C203" s="109">
        <f>DATI!H203</f>
        <v/>
      </c>
      <c r="D203" s="109">
        <f>SE.ERRORE(CERCA.X(A203;GIACENZA_REALE!A:A;GIACENZA_REALE!C:C);0)</f>
        <v/>
      </c>
      <c r="E203" s="109">
        <f>SE(C203=0;"";D203/C203)</f>
        <v/>
      </c>
      <c r="F203" s="109">
        <f>MAX(0;ARROTONDA.ECCESSO(C203-D203;1))</f>
        <v/>
      </c>
    </row>
    <row r="204">
      <c r="A204" s="109">
        <f>DATI!A204</f>
        <v/>
      </c>
      <c r="B204" s="109">
        <f>DATI!B204</f>
        <v/>
      </c>
      <c r="C204" s="109">
        <f>DATI!H204</f>
        <v/>
      </c>
      <c r="D204" s="109">
        <f>SE.ERRORE(CERCA.X(A204;GIACENZA_REALE!A:A;GIACENZA_REALE!C:C);0)</f>
        <v/>
      </c>
      <c r="E204" s="109">
        <f>SE(C204=0;"";D204/C204)</f>
        <v/>
      </c>
      <c r="F204" s="109">
        <f>MAX(0;ARROTONDA.ECCESSO(C204-D204;1))</f>
        <v/>
      </c>
    </row>
    <row r="205">
      <c r="A205" s="109">
        <f>DATI!A205</f>
        <v/>
      </c>
      <c r="B205" s="109">
        <f>DATI!B205</f>
        <v/>
      </c>
      <c r="C205" s="109">
        <f>DATI!H205</f>
        <v/>
      </c>
      <c r="D205" s="109">
        <f>SE.ERRORE(CERCA.X(A205;GIACENZA_REALE!A:A;GIACENZA_REALE!C:C);0)</f>
        <v/>
      </c>
      <c r="E205" s="109">
        <f>SE(C205=0;"";D205/C205)</f>
        <v/>
      </c>
      <c r="F205" s="109">
        <f>MAX(0;ARROTONDA.ECCESSO(C205-D205;1))</f>
        <v/>
      </c>
    </row>
    <row r="206">
      <c r="A206" s="109">
        <f>DATI!A206</f>
        <v/>
      </c>
      <c r="B206" s="109">
        <f>DATI!B206</f>
        <v/>
      </c>
      <c r="C206" s="109">
        <f>DATI!H206</f>
        <v/>
      </c>
      <c r="D206" s="109">
        <f>SE.ERRORE(CERCA.X(A206;GIACENZA_REALE!A:A;GIACENZA_REALE!C:C);0)</f>
        <v/>
      </c>
      <c r="E206" s="109">
        <f>SE(C206=0;"";D206/C206)</f>
        <v/>
      </c>
      <c r="F206" s="109">
        <f>MAX(0;ARROTONDA.ECCESSO(C206-D206;1))</f>
        <v/>
      </c>
    </row>
    <row r="207">
      <c r="A207" s="109">
        <f>DATI!A207</f>
        <v/>
      </c>
      <c r="B207" s="109">
        <f>DATI!B207</f>
        <v/>
      </c>
      <c r="C207" s="109">
        <f>DATI!H207</f>
        <v/>
      </c>
      <c r="D207" s="109">
        <f>SE.ERRORE(CERCA.X(A207;GIACENZA_REALE!A:A;GIACENZA_REALE!C:C);0)</f>
        <v/>
      </c>
      <c r="E207" s="109">
        <f>SE(C207=0;"";D207/C207)</f>
        <v/>
      </c>
      <c r="F207" s="109">
        <f>MAX(0;ARROTONDA.ECCESSO(C207-D207;1))</f>
        <v/>
      </c>
    </row>
    <row r="208">
      <c r="A208" s="109">
        <f>DATI!A208</f>
        <v/>
      </c>
      <c r="B208" s="109">
        <f>DATI!B208</f>
        <v/>
      </c>
      <c r="C208" s="109">
        <f>DATI!H208</f>
        <v/>
      </c>
      <c r="D208" s="109">
        <f>SE.ERRORE(CERCA.X(A208;GIACENZA_REALE!A:A;GIACENZA_REALE!C:C);0)</f>
        <v/>
      </c>
      <c r="E208" s="109">
        <f>SE(C208=0;"";D208/C208)</f>
        <v/>
      </c>
      <c r="F208" s="109">
        <f>MAX(0;ARROTONDA.ECCESSO(C208-D208;1))</f>
        <v/>
      </c>
    </row>
    <row r="209">
      <c r="A209" s="109">
        <f>DATI!A209</f>
        <v/>
      </c>
      <c r="B209" s="109">
        <f>DATI!B209</f>
        <v/>
      </c>
      <c r="C209" s="109">
        <f>DATI!H209</f>
        <v/>
      </c>
      <c r="D209" s="109">
        <f>SE.ERRORE(CERCA.X(A209;GIACENZA_REALE!A:A;GIACENZA_REALE!C:C);0)</f>
        <v/>
      </c>
      <c r="E209" s="109">
        <f>SE(C209=0;"";D209/C209)</f>
        <v/>
      </c>
      <c r="F209" s="109">
        <f>MAX(0;ARROTONDA.ECCESSO(C209-D209;1))</f>
        <v/>
      </c>
    </row>
    <row r="210">
      <c r="A210" s="109">
        <f>DATI!A210</f>
        <v/>
      </c>
      <c r="B210" s="109">
        <f>DATI!B210</f>
        <v/>
      </c>
      <c r="C210" s="109">
        <f>DATI!H210</f>
        <v/>
      </c>
      <c r="D210" s="109">
        <f>SE.ERRORE(CERCA.X(A210;GIACENZA_REALE!A:A;GIACENZA_REALE!C:C);0)</f>
        <v/>
      </c>
      <c r="E210" s="109">
        <f>SE(C210=0;"";D210/C210)</f>
        <v/>
      </c>
      <c r="F210" s="109">
        <f>MAX(0;ARROTONDA.ECCESSO(C210-D210;1))</f>
        <v/>
      </c>
    </row>
    <row r="211">
      <c r="A211" s="109">
        <f>DATI!A211</f>
        <v/>
      </c>
      <c r="B211" s="109">
        <f>DATI!B211</f>
        <v/>
      </c>
      <c r="C211" s="109">
        <f>DATI!H211</f>
        <v/>
      </c>
      <c r="D211" s="109">
        <f>SE.ERRORE(CERCA.X(A211;GIACENZA_REALE!A:A;GIACENZA_REALE!C:C);0)</f>
        <v/>
      </c>
      <c r="E211" s="109">
        <f>SE(C211=0;"";D211/C211)</f>
        <v/>
      </c>
      <c r="F211" s="109">
        <f>MAX(0;ARROTONDA.ECCESSO(C211-D211;1))</f>
        <v/>
      </c>
    </row>
    <row r="212">
      <c r="A212" s="109">
        <f>DATI!A212</f>
        <v/>
      </c>
      <c r="B212" s="109">
        <f>DATI!B212</f>
        <v/>
      </c>
      <c r="C212" s="109">
        <f>DATI!H212</f>
        <v/>
      </c>
      <c r="D212" s="109">
        <f>SE.ERRORE(CERCA.X(A212;GIACENZA_REALE!A:A;GIACENZA_REALE!C:C);0)</f>
        <v/>
      </c>
      <c r="E212" s="109">
        <f>SE(C212=0;"";D212/C212)</f>
        <v/>
      </c>
      <c r="F212" s="109">
        <f>MAX(0;ARROTONDA.ECCESSO(C212-D212;1))</f>
        <v/>
      </c>
    </row>
    <row r="213">
      <c r="A213" s="109">
        <f>DATI!A213</f>
        <v/>
      </c>
      <c r="B213" s="109">
        <f>DATI!B213</f>
        <v/>
      </c>
      <c r="C213" s="109">
        <f>DATI!H213</f>
        <v/>
      </c>
      <c r="D213" s="109">
        <f>SE.ERRORE(CERCA.X(A213;GIACENZA_REALE!A:A;GIACENZA_REALE!C:C);0)</f>
        <v/>
      </c>
      <c r="E213" s="109">
        <f>SE(C213=0;"";D213/C213)</f>
        <v/>
      </c>
      <c r="F213" s="109">
        <f>MAX(0;ARROTONDA.ECCESSO(C213-D213;1))</f>
        <v/>
      </c>
    </row>
    <row r="214">
      <c r="A214" s="109">
        <f>DATI!A214</f>
        <v/>
      </c>
      <c r="B214" s="109">
        <f>DATI!B214</f>
        <v/>
      </c>
      <c r="C214" s="109">
        <f>DATI!H214</f>
        <v/>
      </c>
      <c r="D214" s="109">
        <f>SE.ERRORE(CERCA.X(A214;GIACENZA_REALE!A:A;GIACENZA_REALE!C:C);0)</f>
        <v/>
      </c>
      <c r="E214" s="109">
        <f>SE(C214=0;"";D214/C214)</f>
        <v/>
      </c>
      <c r="F214" s="109">
        <f>MAX(0;ARROTONDA.ECCESSO(C214-D214;1))</f>
        <v/>
      </c>
    </row>
    <row r="215">
      <c r="A215" s="109">
        <f>DATI!A215</f>
        <v/>
      </c>
      <c r="B215" s="109">
        <f>DATI!B215</f>
        <v/>
      </c>
      <c r="C215" s="109">
        <f>DATI!H215</f>
        <v/>
      </c>
      <c r="D215" s="109">
        <f>SE.ERRORE(CERCA.X(A215;GIACENZA_REALE!A:A;GIACENZA_REALE!C:C);0)</f>
        <v/>
      </c>
      <c r="E215" s="109">
        <f>SE(C215=0;"";D215/C215)</f>
        <v/>
      </c>
      <c r="F215" s="109">
        <f>MAX(0;ARROTONDA.ECCESSO(C215-D215;1))</f>
        <v/>
      </c>
    </row>
    <row r="216">
      <c r="A216" s="109">
        <f>DATI!A216</f>
        <v/>
      </c>
      <c r="B216" s="109">
        <f>DATI!B216</f>
        <v/>
      </c>
      <c r="C216" s="109">
        <f>DATI!H216</f>
        <v/>
      </c>
      <c r="D216" s="109">
        <f>SE.ERRORE(CERCA.X(A216;GIACENZA_REALE!A:A;GIACENZA_REALE!C:C);0)</f>
        <v/>
      </c>
      <c r="E216" s="109">
        <f>SE(C216=0;"";D216/C216)</f>
        <v/>
      </c>
      <c r="F216" s="109">
        <f>MAX(0;ARROTONDA.ECCESSO(C216-D216;1))</f>
        <v/>
      </c>
    </row>
    <row r="217">
      <c r="A217" s="109">
        <f>DATI!A217</f>
        <v/>
      </c>
      <c r="B217" s="109">
        <f>DATI!B217</f>
        <v/>
      </c>
      <c r="C217" s="109">
        <f>DATI!H217</f>
        <v/>
      </c>
      <c r="D217" s="109">
        <f>SE.ERRORE(CERCA.X(A217;GIACENZA_REALE!A:A;GIACENZA_REALE!C:C);0)</f>
        <v/>
      </c>
      <c r="E217" s="109">
        <f>SE(C217=0;"";D217/C217)</f>
        <v/>
      </c>
      <c r="F217" s="109">
        <f>MAX(0;ARROTONDA.ECCESSO(C217-D217;1))</f>
        <v/>
      </c>
    </row>
    <row r="218">
      <c r="A218" s="109">
        <f>DATI!A218</f>
        <v/>
      </c>
      <c r="B218" s="109">
        <f>DATI!B218</f>
        <v/>
      </c>
      <c r="C218" s="109">
        <f>DATI!H218</f>
        <v/>
      </c>
      <c r="D218" s="109">
        <f>SE.ERRORE(CERCA.X(A218;GIACENZA_REALE!A:A;GIACENZA_REALE!C:C);0)</f>
        <v/>
      </c>
      <c r="E218" s="109">
        <f>SE(C218=0;"";D218/C218)</f>
        <v/>
      </c>
      <c r="F218" s="109">
        <f>MAX(0;ARROTONDA.ECCESSO(C218-D218;1))</f>
        <v/>
      </c>
    </row>
    <row r="219">
      <c r="A219" s="109">
        <f>DATI!A219</f>
        <v/>
      </c>
      <c r="B219" s="109">
        <f>DATI!B219</f>
        <v/>
      </c>
      <c r="C219" s="109">
        <f>DATI!H219</f>
        <v/>
      </c>
      <c r="D219" s="109">
        <f>SE.ERRORE(CERCA.X(A219;GIACENZA_REALE!A:A;GIACENZA_REALE!C:C);0)</f>
        <v/>
      </c>
      <c r="E219" s="109">
        <f>SE(C219=0;"";D219/C219)</f>
        <v/>
      </c>
      <c r="F219" s="109">
        <f>MAX(0;ARROTONDA.ECCESSO(C219-D219;1))</f>
        <v/>
      </c>
    </row>
    <row r="220">
      <c r="A220" s="109">
        <f>DATI!A220</f>
        <v/>
      </c>
      <c r="B220" s="109">
        <f>DATI!B220</f>
        <v/>
      </c>
      <c r="C220" s="109">
        <f>DATI!H220</f>
        <v/>
      </c>
      <c r="D220" s="109">
        <f>SE.ERRORE(CERCA.X(A220;GIACENZA_REALE!A:A;GIACENZA_REALE!C:C);0)</f>
        <v/>
      </c>
      <c r="E220" s="109">
        <f>SE(C220=0;"";D220/C220)</f>
        <v/>
      </c>
      <c r="F220" s="109">
        <f>MAX(0;ARROTONDA.ECCESSO(C220-D220;1))</f>
        <v/>
      </c>
    </row>
    <row r="221">
      <c r="A221" s="109">
        <f>DATI!A221</f>
        <v/>
      </c>
      <c r="B221" s="109">
        <f>DATI!B221</f>
        <v/>
      </c>
      <c r="C221" s="109">
        <f>DATI!H221</f>
        <v/>
      </c>
      <c r="D221" s="109">
        <f>SE.ERRORE(CERCA.X(A221;GIACENZA_REALE!A:A;GIACENZA_REALE!C:C);0)</f>
        <v/>
      </c>
      <c r="E221" s="109">
        <f>SE(C221=0;"";D221/C221)</f>
        <v/>
      </c>
      <c r="F221" s="109">
        <f>MAX(0;ARROTONDA.ECCESSO(C221-D221;1))</f>
        <v/>
      </c>
    </row>
    <row r="222">
      <c r="A222" s="109">
        <f>DATI!A222</f>
        <v/>
      </c>
      <c r="B222" s="109">
        <f>DATI!B222</f>
        <v/>
      </c>
      <c r="C222" s="109">
        <f>DATI!H222</f>
        <v/>
      </c>
      <c r="D222" s="109">
        <f>SE.ERRORE(CERCA.X(A222;GIACENZA_REALE!A:A;GIACENZA_REALE!C:C);0)</f>
        <v/>
      </c>
      <c r="E222" s="109">
        <f>SE(C222=0;"";D222/C222)</f>
        <v/>
      </c>
      <c r="F222" s="109">
        <f>MAX(0;ARROTONDA.ECCESSO(C222-D222;1))</f>
        <v/>
      </c>
    </row>
    <row r="223">
      <c r="A223" s="109">
        <f>DATI!A223</f>
        <v/>
      </c>
      <c r="B223" s="109">
        <f>DATI!B223</f>
        <v/>
      </c>
      <c r="C223" s="109">
        <f>DATI!H223</f>
        <v/>
      </c>
      <c r="D223" s="109">
        <f>SE.ERRORE(CERCA.X(A223;GIACENZA_REALE!A:A;GIACENZA_REALE!C:C);0)</f>
        <v/>
      </c>
      <c r="E223" s="109">
        <f>SE(C223=0;"";D223/C223)</f>
        <v/>
      </c>
      <c r="F223" s="109">
        <f>MAX(0;ARROTONDA.ECCESSO(C223-D223;1))</f>
        <v/>
      </c>
    </row>
    <row r="224">
      <c r="A224" s="109">
        <f>DATI!A224</f>
        <v/>
      </c>
      <c r="B224" s="109">
        <f>DATI!B224</f>
        <v/>
      </c>
      <c r="C224" s="109">
        <f>DATI!H224</f>
        <v/>
      </c>
      <c r="D224" s="109">
        <f>SE.ERRORE(CERCA.X(A224;GIACENZA_REALE!A:A;GIACENZA_REALE!C:C);0)</f>
        <v/>
      </c>
      <c r="E224" s="109">
        <f>SE(C224=0;"";D224/C224)</f>
        <v/>
      </c>
      <c r="F224" s="109">
        <f>MAX(0;ARROTONDA.ECCESSO(C224-D224;1))</f>
        <v/>
      </c>
    </row>
    <row r="225">
      <c r="A225" s="109">
        <f>DATI!A225</f>
        <v/>
      </c>
      <c r="B225" s="109">
        <f>DATI!B225</f>
        <v/>
      </c>
      <c r="C225" s="109">
        <f>DATI!H225</f>
        <v/>
      </c>
      <c r="D225" s="109">
        <f>SE.ERRORE(CERCA.X(A225;GIACENZA_REALE!A:A;GIACENZA_REALE!C:C);0)</f>
        <v/>
      </c>
      <c r="E225" s="109">
        <f>SE(C225=0;"";D225/C225)</f>
        <v/>
      </c>
      <c r="F225" s="109">
        <f>MAX(0;ARROTONDA.ECCESSO(C225-D225;1))</f>
        <v/>
      </c>
    </row>
    <row r="226">
      <c r="A226" s="109">
        <f>DATI!A226</f>
        <v/>
      </c>
      <c r="B226" s="109">
        <f>DATI!B226</f>
        <v/>
      </c>
      <c r="C226" s="109">
        <f>DATI!H226</f>
        <v/>
      </c>
      <c r="D226" s="109">
        <f>SE.ERRORE(CERCA.X(A226;GIACENZA_REALE!A:A;GIACENZA_REALE!C:C);0)</f>
        <v/>
      </c>
      <c r="E226" s="109">
        <f>SE(C226=0;"";D226/C226)</f>
        <v/>
      </c>
      <c r="F226" s="109">
        <f>MAX(0;ARROTONDA.ECCESSO(C226-D226;1))</f>
        <v/>
      </c>
    </row>
    <row r="227">
      <c r="A227" s="109">
        <f>DATI!A227</f>
        <v/>
      </c>
      <c r="B227" s="109">
        <f>DATI!B227</f>
        <v/>
      </c>
      <c r="C227" s="109">
        <f>DATI!H227</f>
        <v/>
      </c>
      <c r="D227" s="109">
        <f>SE.ERRORE(CERCA.X(A227;GIACENZA_REALE!A:A;GIACENZA_REALE!C:C);0)</f>
        <v/>
      </c>
      <c r="E227" s="109">
        <f>SE(C227=0;"";D227/C227)</f>
        <v/>
      </c>
      <c r="F227" s="109">
        <f>MAX(0;ARROTONDA.ECCESSO(C227-D227;1))</f>
        <v/>
      </c>
    </row>
    <row r="228">
      <c r="A228" s="109">
        <f>DATI!A228</f>
        <v/>
      </c>
      <c r="B228" s="109">
        <f>DATI!B228</f>
        <v/>
      </c>
      <c r="C228" s="109">
        <f>DATI!H228</f>
        <v/>
      </c>
      <c r="D228" s="109">
        <f>SE.ERRORE(CERCA.X(A228;GIACENZA_REALE!A:A;GIACENZA_REALE!C:C);0)</f>
        <v/>
      </c>
      <c r="E228" s="109">
        <f>SE(C228=0;"";D228/C228)</f>
        <v/>
      </c>
      <c r="F228" s="109">
        <f>MAX(0;ARROTONDA.ECCESSO(C228-D228;1))</f>
        <v/>
      </c>
    </row>
    <row r="229">
      <c r="A229" s="109">
        <f>DATI!A229</f>
        <v/>
      </c>
      <c r="B229" s="109">
        <f>DATI!B229</f>
        <v/>
      </c>
      <c r="C229" s="109">
        <f>DATI!H229</f>
        <v/>
      </c>
      <c r="D229" s="109">
        <f>SE.ERRORE(CERCA.X(A229;GIACENZA_REALE!A:A;GIACENZA_REALE!C:C);0)</f>
        <v/>
      </c>
      <c r="E229" s="109">
        <f>SE(C229=0;"";D229/C229)</f>
        <v/>
      </c>
      <c r="F229" s="109">
        <f>MAX(0;ARROTONDA.ECCESSO(C229-D229;1))</f>
        <v/>
      </c>
    </row>
    <row r="230">
      <c r="A230" s="109">
        <f>DATI!A230</f>
        <v/>
      </c>
      <c r="B230" s="109">
        <f>DATI!B230</f>
        <v/>
      </c>
      <c r="C230" s="109">
        <f>DATI!H230</f>
        <v/>
      </c>
      <c r="D230" s="109">
        <f>SE.ERRORE(CERCA.X(A230;GIACENZA_REALE!A:A;GIACENZA_REALE!C:C);0)</f>
        <v/>
      </c>
      <c r="E230" s="109">
        <f>SE(C230=0;"";D230/C230)</f>
        <v/>
      </c>
      <c r="F230" s="109">
        <f>MAX(0;ARROTONDA.ECCESSO(C230-D230;1))</f>
        <v/>
      </c>
    </row>
    <row r="231">
      <c r="A231" s="109">
        <f>DATI!A231</f>
        <v/>
      </c>
      <c r="B231" s="109">
        <f>DATI!B231</f>
        <v/>
      </c>
      <c r="C231" s="109">
        <f>DATI!H231</f>
        <v/>
      </c>
      <c r="D231" s="109">
        <f>SE.ERRORE(CERCA.X(A231;GIACENZA_REALE!A:A;GIACENZA_REALE!C:C);0)</f>
        <v/>
      </c>
      <c r="E231" s="109">
        <f>SE(C231=0;"";D231/C231)</f>
        <v/>
      </c>
      <c r="F231" s="109">
        <f>MAX(0;ARROTONDA.ECCESSO(C231-D231;1))</f>
        <v/>
      </c>
    </row>
    <row r="232">
      <c r="A232" s="109">
        <f>DATI!A232</f>
        <v/>
      </c>
      <c r="B232" s="109">
        <f>DATI!B232</f>
        <v/>
      </c>
      <c r="C232" s="109">
        <f>DATI!H232</f>
        <v/>
      </c>
      <c r="D232" s="109">
        <f>SE.ERRORE(CERCA.X(A232;GIACENZA_REALE!A:A;GIACENZA_REALE!C:C);0)</f>
        <v/>
      </c>
      <c r="E232" s="109">
        <f>SE(C232=0;"";D232/C232)</f>
        <v/>
      </c>
      <c r="F232" s="109">
        <f>MAX(0;ARROTONDA.ECCESSO(C232-D232;1))</f>
        <v/>
      </c>
    </row>
    <row r="233">
      <c r="A233" s="109">
        <f>DATI!A233</f>
        <v/>
      </c>
      <c r="B233" s="109">
        <f>DATI!B233</f>
        <v/>
      </c>
      <c r="C233" s="109">
        <f>DATI!H233</f>
        <v/>
      </c>
      <c r="D233" s="109">
        <f>SE.ERRORE(CERCA.X(A233;GIACENZA_REALE!A:A;GIACENZA_REALE!C:C);0)</f>
        <v/>
      </c>
      <c r="E233" s="109">
        <f>SE(C233=0;"";D233/C233)</f>
        <v/>
      </c>
      <c r="F233" s="109">
        <f>MAX(0;ARROTONDA.ECCESSO(C233-D233;1))</f>
        <v/>
      </c>
    </row>
    <row r="234">
      <c r="A234" s="109">
        <f>DATI!A234</f>
        <v/>
      </c>
      <c r="B234" s="109">
        <f>DATI!B234</f>
        <v/>
      </c>
      <c r="C234" s="109">
        <f>DATI!H234</f>
        <v/>
      </c>
      <c r="D234" s="109">
        <f>SE.ERRORE(CERCA.X(A234;GIACENZA_REALE!A:A;GIACENZA_REALE!C:C);0)</f>
        <v/>
      </c>
      <c r="E234" s="109">
        <f>SE(C234=0;"";D234/C234)</f>
        <v/>
      </c>
      <c r="F234" s="109">
        <f>MAX(0;ARROTONDA.ECCESSO(C234-D234;1))</f>
        <v/>
      </c>
    </row>
    <row r="235">
      <c r="A235" s="109">
        <f>DATI!A235</f>
        <v/>
      </c>
      <c r="B235" s="109">
        <f>DATI!B235</f>
        <v/>
      </c>
      <c r="C235" s="109">
        <f>DATI!H235</f>
        <v/>
      </c>
      <c r="D235" s="109">
        <f>SE.ERRORE(CERCA.X(A235;GIACENZA_REALE!A:A;GIACENZA_REALE!C:C);0)</f>
        <v/>
      </c>
      <c r="E235" s="109">
        <f>SE(C235=0;"";D235/C235)</f>
        <v/>
      </c>
      <c r="F235" s="109">
        <f>MAX(0;ARROTONDA.ECCESSO(C235-D235;1))</f>
        <v/>
      </c>
    </row>
    <row r="236">
      <c r="A236" s="109">
        <f>DATI!A236</f>
        <v/>
      </c>
      <c r="B236" s="109">
        <f>DATI!B236</f>
        <v/>
      </c>
      <c r="C236" s="109">
        <f>DATI!H236</f>
        <v/>
      </c>
      <c r="D236" s="109">
        <f>SE.ERRORE(CERCA.X(A236;GIACENZA_REALE!A:A;GIACENZA_REALE!C:C);0)</f>
        <v/>
      </c>
      <c r="E236" s="109">
        <f>SE(C236=0;"";D236/C236)</f>
        <v/>
      </c>
      <c r="F236" s="109">
        <f>MAX(0;ARROTONDA.ECCESSO(C236-D236;1))</f>
        <v/>
      </c>
    </row>
    <row r="237">
      <c r="A237" s="109">
        <f>DATI!A237</f>
        <v/>
      </c>
      <c r="B237" s="109">
        <f>DATI!B237</f>
        <v/>
      </c>
      <c r="C237" s="109">
        <f>DATI!H237</f>
        <v/>
      </c>
      <c r="D237" s="109">
        <f>SE.ERRORE(CERCA.X(A237;GIACENZA_REALE!A:A;GIACENZA_REALE!C:C);0)</f>
        <v/>
      </c>
      <c r="E237" s="109">
        <f>SE(C237=0;"";D237/C237)</f>
        <v/>
      </c>
      <c r="F237" s="109">
        <f>MAX(0;ARROTONDA.ECCESSO(C237-D237;1))</f>
        <v/>
      </c>
    </row>
    <row r="238">
      <c r="A238" s="109">
        <f>DATI!A238</f>
        <v/>
      </c>
      <c r="B238" s="109">
        <f>DATI!B238</f>
        <v/>
      </c>
      <c r="C238" s="109">
        <f>DATI!H238</f>
        <v/>
      </c>
      <c r="D238" s="109">
        <f>SE.ERRORE(CERCA.X(A238;GIACENZA_REALE!A:A;GIACENZA_REALE!C:C);0)</f>
        <v/>
      </c>
      <c r="E238" s="109">
        <f>SE(C238=0;"";D238/C238)</f>
        <v/>
      </c>
      <c r="F238" s="109">
        <f>MAX(0;ARROTONDA.ECCESSO(C238-D238;1))</f>
        <v/>
      </c>
    </row>
    <row r="239">
      <c r="A239" s="109">
        <f>DATI!A239</f>
        <v/>
      </c>
      <c r="B239" s="109">
        <f>DATI!B239</f>
        <v/>
      </c>
      <c r="C239" s="109">
        <f>DATI!H239</f>
        <v/>
      </c>
      <c r="D239" s="109">
        <f>SE.ERRORE(CERCA.X(A239;GIACENZA_REALE!A:A;GIACENZA_REALE!C:C);0)</f>
        <v/>
      </c>
      <c r="E239" s="109">
        <f>SE(C239=0;"";D239/C239)</f>
        <v/>
      </c>
      <c r="F239" s="109">
        <f>MAX(0;ARROTONDA.ECCESSO(C239-D239;1))</f>
        <v/>
      </c>
    </row>
    <row r="240">
      <c r="A240" s="109">
        <f>DATI!A240</f>
        <v/>
      </c>
      <c r="B240" s="109">
        <f>DATI!B240</f>
        <v/>
      </c>
      <c r="C240" s="109">
        <f>DATI!H240</f>
        <v/>
      </c>
      <c r="D240" s="109">
        <f>SE.ERRORE(CERCA.X(A240;GIACENZA_REALE!A:A;GIACENZA_REALE!C:C);0)</f>
        <v/>
      </c>
      <c r="E240" s="109">
        <f>SE(C240=0;"";D240/C240)</f>
        <v/>
      </c>
      <c r="F240" s="109">
        <f>MAX(0;ARROTONDA.ECCESSO(C240-D240;1))</f>
        <v/>
      </c>
    </row>
    <row r="241">
      <c r="A241" s="109">
        <f>DATI!A241</f>
        <v/>
      </c>
      <c r="B241" s="109">
        <f>DATI!B241</f>
        <v/>
      </c>
      <c r="C241" s="109">
        <f>DATI!H241</f>
        <v/>
      </c>
      <c r="D241" s="109">
        <f>SE.ERRORE(CERCA.X(A241;GIACENZA_REALE!A:A;GIACENZA_REALE!C:C);0)</f>
        <v/>
      </c>
      <c r="E241" s="109">
        <f>SE(C241=0;"";D241/C241)</f>
        <v/>
      </c>
      <c r="F241" s="109">
        <f>MAX(0;ARROTONDA.ECCESSO(C241-D241;1))</f>
        <v/>
      </c>
    </row>
    <row r="242">
      <c r="A242" s="109">
        <f>DATI!A242</f>
        <v/>
      </c>
      <c r="B242" s="109">
        <f>DATI!B242</f>
        <v/>
      </c>
      <c r="C242" s="109">
        <f>DATI!H242</f>
        <v/>
      </c>
      <c r="D242" s="109">
        <f>SE.ERRORE(CERCA.X(A242;GIACENZA_REALE!A:A;GIACENZA_REALE!C:C);0)</f>
        <v/>
      </c>
      <c r="E242" s="109">
        <f>SE(C242=0;"";D242/C242)</f>
        <v/>
      </c>
      <c r="F242" s="109">
        <f>MAX(0;ARROTONDA.ECCESSO(C242-D242;1))</f>
        <v/>
      </c>
    </row>
    <row r="243">
      <c r="A243" s="109">
        <f>DATI!A243</f>
        <v/>
      </c>
      <c r="B243" s="109">
        <f>DATI!B243</f>
        <v/>
      </c>
      <c r="C243" s="109">
        <f>DATI!H243</f>
        <v/>
      </c>
      <c r="D243" s="109">
        <f>SE.ERRORE(CERCA.X(A243;GIACENZA_REALE!A:A;GIACENZA_REALE!C:C);0)</f>
        <v/>
      </c>
      <c r="E243" s="109">
        <f>SE(C243=0;"";D243/C243)</f>
        <v/>
      </c>
      <c r="F243" s="109">
        <f>MAX(0;ARROTONDA.ECCESSO(C243-D243;1))</f>
        <v/>
      </c>
    </row>
    <row r="244">
      <c r="A244" s="109">
        <f>DATI!A244</f>
        <v/>
      </c>
      <c r="B244" s="109">
        <f>DATI!B244</f>
        <v/>
      </c>
      <c r="C244" s="109">
        <f>DATI!H244</f>
        <v/>
      </c>
      <c r="D244" s="109">
        <f>SE.ERRORE(CERCA.X(A244;GIACENZA_REALE!A:A;GIACENZA_REALE!C:C);0)</f>
        <v/>
      </c>
      <c r="E244" s="109">
        <f>SE(C244=0;"";D244/C244)</f>
        <v/>
      </c>
      <c r="F244" s="109">
        <f>MAX(0;ARROTONDA.ECCESSO(C244-D244;1))</f>
        <v/>
      </c>
    </row>
    <row r="245">
      <c r="A245" s="109">
        <f>DATI!A245</f>
        <v/>
      </c>
      <c r="B245" s="109">
        <f>DATI!B245</f>
        <v/>
      </c>
      <c r="C245" s="109">
        <f>DATI!H245</f>
        <v/>
      </c>
      <c r="D245" s="109">
        <f>SE.ERRORE(CERCA.X(A245;GIACENZA_REALE!A:A;GIACENZA_REALE!C:C);0)</f>
        <v/>
      </c>
      <c r="E245" s="109">
        <f>SE(C245=0;"";D245/C245)</f>
        <v/>
      </c>
      <c r="F245" s="109">
        <f>MAX(0;ARROTONDA.ECCESSO(C245-D245;1))</f>
        <v/>
      </c>
    </row>
    <row r="246">
      <c r="A246" s="109">
        <f>DATI!A246</f>
        <v/>
      </c>
      <c r="B246" s="109">
        <f>DATI!B246</f>
        <v/>
      </c>
      <c r="C246" s="109">
        <f>DATI!H246</f>
        <v/>
      </c>
      <c r="D246" s="109">
        <f>SE.ERRORE(CERCA.X(A246;GIACENZA_REALE!A:A;GIACENZA_REALE!C:C);0)</f>
        <v/>
      </c>
      <c r="E246" s="109">
        <f>SE(C246=0;"";D246/C246)</f>
        <v/>
      </c>
      <c r="F246" s="109">
        <f>MAX(0;ARROTONDA.ECCESSO(C246-D246;1))</f>
        <v/>
      </c>
    </row>
    <row r="247">
      <c r="A247" s="109">
        <f>DATI!A247</f>
        <v/>
      </c>
      <c r="B247" s="109">
        <f>DATI!B247</f>
        <v/>
      </c>
      <c r="C247" s="109">
        <f>DATI!H247</f>
        <v/>
      </c>
      <c r="D247" s="109">
        <f>SE.ERRORE(CERCA.X(A247;GIACENZA_REALE!A:A;GIACENZA_REALE!C:C);0)</f>
        <v/>
      </c>
      <c r="E247" s="109">
        <f>SE(C247=0;"";D247/C247)</f>
        <v/>
      </c>
      <c r="F247" s="109">
        <f>MAX(0;ARROTONDA.ECCESSO(C247-D247;1))</f>
        <v/>
      </c>
    </row>
    <row r="248">
      <c r="A248" s="109">
        <f>DATI!A248</f>
        <v/>
      </c>
      <c r="B248" s="109">
        <f>DATI!B248</f>
        <v/>
      </c>
      <c r="C248" s="109">
        <f>DATI!H248</f>
        <v/>
      </c>
      <c r="D248" s="109">
        <f>SE.ERRORE(CERCA.X(A248;GIACENZA_REALE!A:A;GIACENZA_REALE!C:C);0)</f>
        <v/>
      </c>
      <c r="E248" s="109">
        <f>SE(C248=0;"";D248/C248)</f>
        <v/>
      </c>
      <c r="F248" s="109">
        <f>MAX(0;ARROTONDA.ECCESSO(C248-D248;1))</f>
        <v/>
      </c>
    </row>
    <row r="249">
      <c r="A249" s="109">
        <f>DATI!A249</f>
        <v/>
      </c>
      <c r="B249" s="109">
        <f>DATI!B249</f>
        <v/>
      </c>
      <c r="C249" s="109">
        <f>DATI!H249</f>
        <v/>
      </c>
      <c r="D249" s="109">
        <f>SE.ERRORE(CERCA.X(A249;GIACENZA_REALE!A:A;GIACENZA_REALE!C:C);0)</f>
        <v/>
      </c>
      <c r="E249" s="109">
        <f>SE(C249=0;"";D249/C249)</f>
        <v/>
      </c>
      <c r="F249" s="109">
        <f>MAX(0;ARROTONDA.ECCESSO(C249-D249;1))</f>
        <v/>
      </c>
    </row>
    <row r="250">
      <c r="A250" s="109">
        <f>DATI!A250</f>
        <v/>
      </c>
      <c r="B250" s="109">
        <f>DATI!B250</f>
        <v/>
      </c>
      <c r="C250" s="109">
        <f>DATI!H250</f>
        <v/>
      </c>
      <c r="D250" s="109">
        <f>SE.ERRORE(CERCA.X(A250;GIACENZA_REALE!A:A;GIACENZA_REALE!C:C);0)</f>
        <v/>
      </c>
      <c r="E250" s="109">
        <f>SE(C250=0;"";D250/C250)</f>
        <v/>
      </c>
      <c r="F250" s="109">
        <f>MAX(0;ARROTONDA.ECCESSO(C250-D250;1))</f>
        <v/>
      </c>
    </row>
    <row r="251">
      <c r="A251" s="109">
        <f>DATI!A251</f>
        <v/>
      </c>
      <c r="B251" s="109">
        <f>DATI!B251</f>
        <v/>
      </c>
      <c r="C251" s="109">
        <f>DATI!H251</f>
        <v/>
      </c>
      <c r="D251" s="109">
        <f>SE.ERRORE(CERCA.X(A251;GIACENZA_REALE!A:A;GIACENZA_REALE!C:C);0)</f>
        <v/>
      </c>
      <c r="E251" s="109">
        <f>SE(C251=0;"";D251/C251)</f>
        <v/>
      </c>
      <c r="F251" s="109">
        <f>MAX(0;ARROTONDA.ECCESSO(C251-D251;1))</f>
        <v/>
      </c>
    </row>
    <row r="252">
      <c r="A252" s="109">
        <f>DATI!A252</f>
        <v/>
      </c>
      <c r="B252" s="109">
        <f>DATI!B252</f>
        <v/>
      </c>
      <c r="C252" s="109">
        <f>DATI!H252</f>
        <v/>
      </c>
      <c r="D252" s="109">
        <f>SE.ERRORE(CERCA.X(A252;GIACENZA_REALE!A:A;GIACENZA_REALE!C:C);0)</f>
        <v/>
      </c>
      <c r="E252" s="109">
        <f>SE(C252=0;"";D252/C252)</f>
        <v/>
      </c>
      <c r="F252" s="109">
        <f>MAX(0;ARROTONDA.ECCESSO(C252-D252;1))</f>
        <v/>
      </c>
    </row>
    <row r="253">
      <c r="A253" s="109">
        <f>DATI!A253</f>
        <v/>
      </c>
      <c r="B253" s="109">
        <f>DATI!B253</f>
        <v/>
      </c>
      <c r="C253" s="109">
        <f>DATI!H253</f>
        <v/>
      </c>
      <c r="D253" s="109">
        <f>SE.ERRORE(CERCA.X(A253;GIACENZA_REALE!A:A;GIACENZA_REALE!C:C);0)</f>
        <v/>
      </c>
      <c r="E253" s="109">
        <f>SE(C253=0;"";D253/C253)</f>
        <v/>
      </c>
      <c r="F253" s="109">
        <f>MAX(0;ARROTONDA.ECCESSO(C253-D253;1))</f>
        <v/>
      </c>
    </row>
    <row r="254">
      <c r="A254" s="109">
        <f>DATI!A254</f>
        <v/>
      </c>
      <c r="B254" s="109">
        <f>DATI!B254</f>
        <v/>
      </c>
      <c r="C254" s="109">
        <f>DATI!H254</f>
        <v/>
      </c>
      <c r="D254" s="109">
        <f>SE.ERRORE(CERCA.X(A254;GIACENZA_REALE!A:A;GIACENZA_REALE!C:C);0)</f>
        <v/>
      </c>
      <c r="E254" s="109">
        <f>SE(C254=0;"";D254/C254)</f>
        <v/>
      </c>
      <c r="F254" s="109">
        <f>MAX(0;ARROTONDA.ECCESSO(C254-D254;1))</f>
        <v/>
      </c>
    </row>
    <row r="255">
      <c r="A255" s="109">
        <f>DATI!A255</f>
        <v/>
      </c>
      <c r="B255" s="109">
        <f>DATI!B255</f>
        <v/>
      </c>
      <c r="C255" s="109">
        <f>DATI!H255</f>
        <v/>
      </c>
      <c r="D255" s="109">
        <f>SE.ERRORE(CERCA.X(A255;GIACENZA_REALE!A:A;GIACENZA_REALE!C:C);0)</f>
        <v/>
      </c>
      <c r="E255" s="109">
        <f>SE(C255=0;"";D255/C255)</f>
        <v/>
      </c>
      <c r="F255" s="109">
        <f>MAX(0;ARROTONDA.ECCESSO(C255-D255;1))</f>
        <v/>
      </c>
    </row>
    <row r="256">
      <c r="A256" s="109">
        <f>DATI!A256</f>
        <v/>
      </c>
      <c r="B256" s="109">
        <f>DATI!B256</f>
        <v/>
      </c>
      <c r="C256" s="109">
        <f>DATI!H256</f>
        <v/>
      </c>
      <c r="D256" s="109">
        <f>SE.ERRORE(CERCA.X(A256;GIACENZA_REALE!A:A;GIACENZA_REALE!C:C);0)</f>
        <v/>
      </c>
      <c r="E256" s="109">
        <f>SE(C256=0;"";D256/C256)</f>
        <v/>
      </c>
      <c r="F256" s="109">
        <f>MAX(0;ARROTONDA.ECCESSO(C256-D256;1))</f>
        <v/>
      </c>
    </row>
    <row r="257">
      <c r="A257" s="109">
        <f>DATI!A257</f>
        <v/>
      </c>
      <c r="B257" s="109">
        <f>DATI!B257</f>
        <v/>
      </c>
      <c r="C257" s="109">
        <f>DATI!H257</f>
        <v/>
      </c>
      <c r="D257" s="109">
        <f>SE.ERRORE(CERCA.X(A257;GIACENZA_REALE!A:A;GIACENZA_REALE!C:C);0)</f>
        <v/>
      </c>
      <c r="E257" s="109">
        <f>SE(C257=0;"";D257/C257)</f>
        <v/>
      </c>
      <c r="F257" s="109">
        <f>MAX(0;ARROTONDA.ECCESSO(C257-D257;1))</f>
        <v/>
      </c>
    </row>
    <row r="258">
      <c r="A258" s="109">
        <f>DATI!A258</f>
        <v/>
      </c>
      <c r="B258" s="109">
        <f>DATI!B258</f>
        <v/>
      </c>
      <c r="C258" s="109">
        <f>DATI!H258</f>
        <v/>
      </c>
      <c r="D258" s="109">
        <f>SE.ERRORE(CERCA.X(A258;GIACENZA_REALE!A:A;GIACENZA_REALE!C:C);0)</f>
        <v/>
      </c>
      <c r="E258" s="109">
        <f>SE(C258=0;"";D258/C258)</f>
        <v/>
      </c>
      <c r="F258" s="109">
        <f>MAX(0;ARROTONDA.ECCESSO(C258-D258;1))</f>
        <v/>
      </c>
    </row>
    <row r="259">
      <c r="A259" s="109">
        <f>DATI!A259</f>
        <v/>
      </c>
      <c r="B259" s="109">
        <f>DATI!B259</f>
        <v/>
      </c>
      <c r="C259" s="109">
        <f>DATI!H259</f>
        <v/>
      </c>
      <c r="D259" s="109">
        <f>SE.ERRORE(CERCA.X(A259;GIACENZA_REALE!A:A;GIACENZA_REALE!C:C);0)</f>
        <v/>
      </c>
      <c r="E259" s="109">
        <f>SE(C259=0;"";D259/C259)</f>
        <v/>
      </c>
      <c r="F259" s="109">
        <f>MAX(0;ARROTONDA.ECCESSO(C259-D259;1))</f>
        <v/>
      </c>
    </row>
    <row r="260">
      <c r="A260" s="109">
        <f>DATI!A260</f>
        <v/>
      </c>
      <c r="B260" s="109">
        <f>DATI!B260</f>
        <v/>
      </c>
      <c r="C260" s="109">
        <f>DATI!H260</f>
        <v/>
      </c>
      <c r="D260" s="109">
        <f>SE.ERRORE(CERCA.X(A260;GIACENZA_REALE!A:A;GIACENZA_REALE!C:C);0)</f>
        <v/>
      </c>
      <c r="E260" s="109">
        <f>SE(C260=0;"";D260/C260)</f>
        <v/>
      </c>
      <c r="F260" s="109">
        <f>MAX(0;ARROTONDA.ECCESSO(C260-D260;1))</f>
        <v/>
      </c>
    </row>
    <row r="261">
      <c r="A261" s="109">
        <f>DATI!A261</f>
        <v/>
      </c>
      <c r="B261" s="109">
        <f>DATI!B261</f>
        <v/>
      </c>
      <c r="C261" s="109">
        <f>DATI!H261</f>
        <v/>
      </c>
      <c r="D261" s="109">
        <f>SE.ERRORE(CERCA.X(A261;GIACENZA_REALE!A:A;GIACENZA_REALE!C:C);0)</f>
        <v/>
      </c>
      <c r="E261" s="109">
        <f>SE(C261=0;"";D261/C261)</f>
        <v/>
      </c>
      <c r="F261" s="109">
        <f>MAX(0;ARROTONDA.ECCESSO(C261-D261;1))</f>
        <v/>
      </c>
    </row>
    <row r="262">
      <c r="A262" s="109">
        <f>DATI!A262</f>
        <v/>
      </c>
      <c r="B262" s="109">
        <f>DATI!B262</f>
        <v/>
      </c>
      <c r="C262" s="109">
        <f>DATI!H262</f>
        <v/>
      </c>
      <c r="D262" s="109">
        <f>SE.ERRORE(CERCA.X(A262;GIACENZA_REALE!A:A;GIACENZA_REALE!C:C);0)</f>
        <v/>
      </c>
      <c r="E262" s="109">
        <f>SE(C262=0;"";D262/C262)</f>
        <v/>
      </c>
      <c r="F262" s="109">
        <f>MAX(0;ARROTONDA.ECCESSO(C262-D262;1))</f>
        <v/>
      </c>
    </row>
    <row r="263">
      <c r="A263" s="109">
        <f>DATI!A263</f>
        <v/>
      </c>
      <c r="B263" s="109">
        <f>DATI!B263</f>
        <v/>
      </c>
      <c r="C263" s="109">
        <f>DATI!H263</f>
        <v/>
      </c>
      <c r="D263" s="109">
        <f>SE.ERRORE(CERCA.X(A263;GIACENZA_REALE!A:A;GIACENZA_REALE!C:C);0)</f>
        <v/>
      </c>
      <c r="E263" s="109">
        <f>SE(C263=0;"";D263/C263)</f>
        <v/>
      </c>
      <c r="F263" s="109">
        <f>MAX(0;ARROTONDA.ECCESSO(C263-D263;1))</f>
        <v/>
      </c>
    </row>
    <row r="264">
      <c r="A264" s="109">
        <f>DATI!A264</f>
        <v/>
      </c>
      <c r="B264" s="109">
        <f>DATI!B264</f>
        <v/>
      </c>
      <c r="C264" s="109">
        <f>DATI!H264</f>
        <v/>
      </c>
      <c r="D264" s="109">
        <f>SE.ERRORE(CERCA.X(A264;GIACENZA_REALE!A:A;GIACENZA_REALE!C:C);0)</f>
        <v/>
      </c>
      <c r="E264" s="109">
        <f>SE(C264=0;"";D264/C264)</f>
        <v/>
      </c>
      <c r="F264" s="109">
        <f>MAX(0;ARROTONDA.ECCESSO(C264-D264;1))</f>
        <v/>
      </c>
    </row>
    <row r="265">
      <c r="A265" s="109">
        <f>DATI!A265</f>
        <v/>
      </c>
      <c r="B265" s="109">
        <f>DATI!B265</f>
        <v/>
      </c>
      <c r="C265" s="109">
        <f>DATI!H265</f>
        <v/>
      </c>
      <c r="D265" s="109">
        <f>SE.ERRORE(CERCA.X(A265;GIACENZA_REALE!A:A;GIACENZA_REALE!C:C);0)</f>
        <v/>
      </c>
      <c r="E265" s="109">
        <f>SE(C265=0;"";D265/C265)</f>
        <v/>
      </c>
      <c r="F265" s="109">
        <f>MAX(0;ARROTONDA.ECCESSO(C265-D265;1))</f>
        <v/>
      </c>
    </row>
    <row r="266">
      <c r="A266" s="109">
        <f>DATI!A266</f>
        <v/>
      </c>
      <c r="B266" s="109">
        <f>DATI!B266</f>
        <v/>
      </c>
      <c r="C266" s="109">
        <f>DATI!H266</f>
        <v/>
      </c>
      <c r="D266" s="109">
        <f>SE.ERRORE(CERCA.X(A266;GIACENZA_REALE!A:A;GIACENZA_REALE!C:C);0)</f>
        <v/>
      </c>
      <c r="E266" s="109">
        <f>SE(C266=0;"";D266/C266)</f>
        <v/>
      </c>
      <c r="F266" s="109">
        <f>MAX(0;ARROTONDA.ECCESSO(C266-D266;1))</f>
        <v/>
      </c>
    </row>
    <row r="267">
      <c r="A267" s="109">
        <f>DATI!A267</f>
        <v/>
      </c>
      <c r="B267" s="109">
        <f>DATI!B267</f>
        <v/>
      </c>
      <c r="C267" s="109">
        <f>DATI!H267</f>
        <v/>
      </c>
      <c r="D267" s="109">
        <f>SE.ERRORE(CERCA.X(A267;GIACENZA_REALE!A:A;GIACENZA_REALE!C:C);0)</f>
        <v/>
      </c>
      <c r="E267" s="109">
        <f>SE(C267=0;"";D267/C267)</f>
        <v/>
      </c>
      <c r="F267" s="109">
        <f>MAX(0;ARROTONDA.ECCESSO(C267-D267;1))</f>
        <v/>
      </c>
    </row>
    <row r="268">
      <c r="A268" s="109">
        <f>DATI!A268</f>
        <v/>
      </c>
      <c r="B268" s="109">
        <f>DATI!B268</f>
        <v/>
      </c>
      <c r="C268" s="109">
        <f>DATI!H268</f>
        <v/>
      </c>
      <c r="D268" s="109">
        <f>SE.ERRORE(CERCA.X(A268;GIACENZA_REALE!A:A;GIACENZA_REALE!C:C);0)</f>
        <v/>
      </c>
      <c r="E268" s="109">
        <f>SE(C268=0;"";D268/C268)</f>
        <v/>
      </c>
      <c r="F268" s="109">
        <f>MAX(0;ARROTONDA.ECCESSO(C268-D268;1))</f>
        <v/>
      </c>
    </row>
    <row r="269">
      <c r="A269" s="109">
        <f>DATI!A269</f>
        <v/>
      </c>
      <c r="B269" s="109">
        <f>DATI!B269</f>
        <v/>
      </c>
      <c r="C269" s="109">
        <f>DATI!H269</f>
        <v/>
      </c>
      <c r="D269" s="109">
        <f>SE.ERRORE(CERCA.X(A269;GIACENZA_REALE!A:A;GIACENZA_REALE!C:C);0)</f>
        <v/>
      </c>
      <c r="E269" s="109">
        <f>SE(C269=0;"";D269/C269)</f>
        <v/>
      </c>
      <c r="F269" s="109">
        <f>MAX(0;ARROTONDA.ECCESSO(C269-D269;1))</f>
        <v/>
      </c>
    </row>
    <row r="270">
      <c r="A270" s="109">
        <f>DATI!A270</f>
        <v/>
      </c>
      <c r="B270" s="109">
        <f>DATI!B270</f>
        <v/>
      </c>
      <c r="C270" s="109">
        <f>DATI!H270</f>
        <v/>
      </c>
      <c r="D270" s="109">
        <f>SE.ERRORE(CERCA.X(A270;GIACENZA_REALE!A:A;GIACENZA_REALE!C:C);0)</f>
        <v/>
      </c>
      <c r="E270" s="109">
        <f>SE(C270=0;"";D270/C270)</f>
        <v/>
      </c>
      <c r="F270" s="109">
        <f>MAX(0;ARROTONDA.ECCESSO(C270-D270;1))</f>
        <v/>
      </c>
    </row>
    <row r="271">
      <c r="A271" s="109">
        <f>DATI!A271</f>
        <v/>
      </c>
      <c r="B271" s="109">
        <f>DATI!B271</f>
        <v/>
      </c>
      <c r="C271" s="109">
        <f>DATI!H271</f>
        <v/>
      </c>
      <c r="D271" s="109">
        <f>SE.ERRORE(CERCA.X(A271;GIACENZA_REALE!A:A;GIACENZA_REALE!C:C);0)</f>
        <v/>
      </c>
      <c r="E271" s="109">
        <f>SE(C271=0;"";D271/C271)</f>
        <v/>
      </c>
      <c r="F271" s="109">
        <f>MAX(0;ARROTONDA.ECCESSO(C271-D271;1))</f>
        <v/>
      </c>
    </row>
    <row r="272">
      <c r="A272" s="109">
        <f>DATI!A272</f>
        <v/>
      </c>
      <c r="B272" s="109">
        <f>DATI!B272</f>
        <v/>
      </c>
      <c r="C272" s="109">
        <f>DATI!H272</f>
        <v/>
      </c>
      <c r="D272" s="109">
        <f>SE.ERRORE(CERCA.X(A272;GIACENZA_REALE!A:A;GIACENZA_REALE!C:C);0)</f>
        <v/>
      </c>
      <c r="E272" s="109">
        <f>SE(C272=0;"";D272/C272)</f>
        <v/>
      </c>
      <c r="F272" s="109">
        <f>MAX(0;ARROTONDA.ECCESSO(C272-D272;1))</f>
        <v/>
      </c>
    </row>
    <row r="273">
      <c r="A273" s="109">
        <f>DATI!A273</f>
        <v/>
      </c>
      <c r="B273" s="109">
        <f>DATI!B273</f>
        <v/>
      </c>
      <c r="C273" s="109">
        <f>DATI!H273</f>
        <v/>
      </c>
      <c r="D273" s="109">
        <f>SE.ERRORE(CERCA.X(A273;GIACENZA_REALE!A:A;GIACENZA_REALE!C:C);0)</f>
        <v/>
      </c>
      <c r="E273" s="109">
        <f>SE(C273=0;"";D273/C273)</f>
        <v/>
      </c>
      <c r="F273" s="109">
        <f>MAX(0;ARROTONDA.ECCESSO(C273-D273;1))</f>
        <v/>
      </c>
    </row>
    <row r="274">
      <c r="A274" s="109">
        <f>DATI!A274</f>
        <v/>
      </c>
      <c r="B274" s="109">
        <f>DATI!B274</f>
        <v/>
      </c>
      <c r="C274" s="109">
        <f>DATI!H274</f>
        <v/>
      </c>
      <c r="D274" s="109">
        <f>SE.ERRORE(CERCA.X(A274;GIACENZA_REALE!A:A;GIACENZA_REALE!C:C);0)</f>
        <v/>
      </c>
      <c r="E274" s="109">
        <f>SE(C274=0;"";D274/C274)</f>
        <v/>
      </c>
      <c r="F274" s="109">
        <f>MAX(0;ARROTONDA.ECCESSO(C274-D274;1))</f>
        <v/>
      </c>
    </row>
    <row r="275">
      <c r="A275" s="109">
        <f>DATI!A275</f>
        <v/>
      </c>
      <c r="B275" s="109">
        <f>DATI!B275</f>
        <v/>
      </c>
      <c r="C275" s="109">
        <f>DATI!H275</f>
        <v/>
      </c>
      <c r="D275" s="109">
        <f>SE.ERRORE(CERCA.X(A275;GIACENZA_REALE!A:A;GIACENZA_REALE!C:C);0)</f>
        <v/>
      </c>
      <c r="E275" s="109">
        <f>SE(C275=0;"";D275/C275)</f>
        <v/>
      </c>
      <c r="F275" s="109">
        <f>MAX(0;ARROTONDA.ECCESSO(C275-D275;1))</f>
        <v/>
      </c>
    </row>
    <row r="276">
      <c r="A276" s="109">
        <f>DATI!A276</f>
        <v/>
      </c>
      <c r="B276" s="109">
        <f>DATI!B276</f>
        <v/>
      </c>
      <c r="C276" s="109">
        <f>DATI!H276</f>
        <v/>
      </c>
      <c r="D276" s="109">
        <f>SE.ERRORE(CERCA.X(A276;GIACENZA_REALE!A:A;GIACENZA_REALE!C:C);0)</f>
        <v/>
      </c>
      <c r="E276" s="109">
        <f>SE(C276=0;"";D276/C276)</f>
        <v/>
      </c>
      <c r="F276" s="109">
        <f>MAX(0;ARROTONDA.ECCESSO(C276-D276;1))</f>
        <v/>
      </c>
    </row>
    <row r="277">
      <c r="A277" s="109">
        <f>DATI!A277</f>
        <v/>
      </c>
      <c r="B277" s="109">
        <f>DATI!B277</f>
        <v/>
      </c>
      <c r="C277" s="109">
        <f>DATI!H277</f>
        <v/>
      </c>
      <c r="D277" s="109">
        <f>SE.ERRORE(CERCA.X(A277;GIACENZA_REALE!A:A;GIACENZA_REALE!C:C);0)</f>
        <v/>
      </c>
      <c r="E277" s="109">
        <f>SE(C277=0;"";D277/C277)</f>
        <v/>
      </c>
      <c r="F277" s="109">
        <f>MAX(0;ARROTONDA.ECCESSO(C277-D277;1))</f>
        <v/>
      </c>
    </row>
    <row r="278">
      <c r="A278" s="109">
        <f>DATI!A278</f>
        <v/>
      </c>
      <c r="B278" s="109">
        <f>DATI!B278</f>
        <v/>
      </c>
      <c r="C278" s="109">
        <f>DATI!H278</f>
        <v/>
      </c>
      <c r="D278" s="109">
        <f>SE.ERRORE(CERCA.X(A278;GIACENZA_REALE!A:A;GIACENZA_REALE!C:C);0)</f>
        <v/>
      </c>
      <c r="E278" s="109">
        <f>SE(C278=0;"";D278/C278)</f>
        <v/>
      </c>
      <c r="F278" s="109">
        <f>MAX(0;ARROTONDA.ECCESSO(C278-D278;1))</f>
        <v/>
      </c>
    </row>
    <row r="279">
      <c r="A279" s="109">
        <f>DATI!A279</f>
        <v/>
      </c>
      <c r="B279" s="109">
        <f>DATI!B279</f>
        <v/>
      </c>
      <c r="C279" s="109">
        <f>DATI!H279</f>
        <v/>
      </c>
      <c r="D279" s="109">
        <f>SE.ERRORE(CERCA.X(A279;GIACENZA_REALE!A:A;GIACENZA_REALE!C:C);0)</f>
        <v/>
      </c>
      <c r="E279" s="109">
        <f>SE(C279=0;"";D279/C279)</f>
        <v/>
      </c>
      <c r="F279" s="109">
        <f>MAX(0;ARROTONDA.ECCESSO(C279-D279;1))</f>
        <v/>
      </c>
    </row>
    <row r="280">
      <c r="A280" s="109">
        <f>DATI!A280</f>
        <v/>
      </c>
      <c r="B280" s="109">
        <f>DATI!B280</f>
        <v/>
      </c>
      <c r="C280" s="109">
        <f>DATI!H280</f>
        <v/>
      </c>
      <c r="D280" s="109">
        <f>SE.ERRORE(CERCA.X(A280;GIACENZA_REALE!A:A;GIACENZA_REALE!C:C);0)</f>
        <v/>
      </c>
      <c r="E280" s="109">
        <f>SE(C280=0;"";D280/C280)</f>
        <v/>
      </c>
      <c r="F280" s="109">
        <f>MAX(0;ARROTONDA.ECCESSO(C280-D280;1))</f>
        <v/>
      </c>
    </row>
    <row r="281">
      <c r="A281" s="109">
        <f>DATI!A281</f>
        <v/>
      </c>
      <c r="B281" s="109">
        <f>DATI!B281</f>
        <v/>
      </c>
      <c r="C281" s="109">
        <f>DATI!H281</f>
        <v/>
      </c>
      <c r="D281" s="109">
        <f>SE.ERRORE(CERCA.X(A281;GIACENZA_REALE!A:A;GIACENZA_REALE!C:C);0)</f>
        <v/>
      </c>
      <c r="E281" s="109">
        <f>SE(C281=0;"";D281/C281)</f>
        <v/>
      </c>
      <c r="F281" s="109">
        <f>MAX(0;ARROTONDA.ECCESSO(C281-D281;1))</f>
        <v/>
      </c>
    </row>
    <row r="282">
      <c r="A282" s="109">
        <f>DATI!A282</f>
        <v/>
      </c>
      <c r="B282" s="109">
        <f>DATI!B282</f>
        <v/>
      </c>
      <c r="C282" s="109">
        <f>DATI!H282</f>
        <v/>
      </c>
      <c r="D282" s="109">
        <f>SE.ERRORE(CERCA.X(A282;GIACENZA_REALE!A:A;GIACENZA_REALE!C:C);0)</f>
        <v/>
      </c>
      <c r="E282" s="109">
        <f>SE(C282=0;"";D282/C282)</f>
        <v/>
      </c>
      <c r="F282" s="109">
        <f>MAX(0;ARROTONDA.ECCESSO(C282-D282;1))</f>
        <v/>
      </c>
    </row>
    <row r="283">
      <c r="A283" s="109">
        <f>DATI!A283</f>
        <v/>
      </c>
      <c r="B283" s="109">
        <f>DATI!B283</f>
        <v/>
      </c>
      <c r="C283" s="109">
        <f>DATI!H283</f>
        <v/>
      </c>
      <c r="D283" s="109">
        <f>SE.ERRORE(CERCA.X(A283;GIACENZA_REALE!A:A;GIACENZA_REALE!C:C);0)</f>
        <v/>
      </c>
      <c r="E283" s="109">
        <f>SE(C283=0;"";D283/C283)</f>
        <v/>
      </c>
      <c r="F283" s="109">
        <f>MAX(0;ARROTONDA.ECCESSO(C283-D283;1))</f>
        <v/>
      </c>
    </row>
    <row r="284">
      <c r="A284" s="109">
        <f>DATI!A284</f>
        <v/>
      </c>
      <c r="B284" s="109">
        <f>DATI!B284</f>
        <v/>
      </c>
      <c r="C284" s="109">
        <f>DATI!H284</f>
        <v/>
      </c>
      <c r="D284" s="109">
        <f>SE.ERRORE(CERCA.X(A284;GIACENZA_REALE!A:A;GIACENZA_REALE!C:C);0)</f>
        <v/>
      </c>
      <c r="E284" s="109">
        <f>SE(C284=0;"";D284/C284)</f>
        <v/>
      </c>
      <c r="F284" s="109">
        <f>MAX(0;ARROTONDA.ECCESSO(C284-D284;1))</f>
        <v/>
      </c>
    </row>
    <row r="285">
      <c r="A285" s="109">
        <f>DATI!A285</f>
        <v/>
      </c>
      <c r="B285" s="109">
        <f>DATI!B285</f>
        <v/>
      </c>
      <c r="C285" s="109">
        <f>DATI!H285</f>
        <v/>
      </c>
      <c r="D285" s="109">
        <f>SE.ERRORE(CERCA.X(A285;GIACENZA_REALE!A:A;GIACENZA_REALE!C:C);0)</f>
        <v/>
      </c>
      <c r="E285" s="109">
        <f>SE(C285=0;"";D285/C285)</f>
        <v/>
      </c>
      <c r="F285" s="109">
        <f>MAX(0;ARROTONDA.ECCESSO(C285-D285;1))</f>
        <v/>
      </c>
    </row>
    <row r="286">
      <c r="A286" s="109">
        <f>DATI!A286</f>
        <v/>
      </c>
      <c r="B286" s="109">
        <f>DATI!B286</f>
        <v/>
      </c>
      <c r="C286" s="109">
        <f>DATI!H286</f>
        <v/>
      </c>
      <c r="D286" s="109">
        <f>SE.ERRORE(CERCA.X(A286;GIACENZA_REALE!A:A;GIACENZA_REALE!C:C);0)</f>
        <v/>
      </c>
      <c r="E286" s="109">
        <f>SE(C286=0;"";D286/C286)</f>
        <v/>
      </c>
      <c r="F286" s="109">
        <f>MAX(0;ARROTONDA.ECCESSO(C286-D286;1))</f>
        <v/>
      </c>
    </row>
    <row r="287">
      <c r="A287" s="109">
        <f>DATI!A287</f>
        <v/>
      </c>
      <c r="B287" s="109">
        <f>DATI!B287</f>
        <v/>
      </c>
      <c r="C287" s="109">
        <f>DATI!H287</f>
        <v/>
      </c>
      <c r="D287" s="109">
        <f>SE.ERRORE(CERCA.X(A287;GIACENZA_REALE!A:A;GIACENZA_REALE!C:C);0)</f>
        <v/>
      </c>
      <c r="E287" s="109">
        <f>SE(C287=0;"";D287/C287)</f>
        <v/>
      </c>
      <c r="F287" s="109">
        <f>MAX(0;ARROTONDA.ECCESSO(C287-D287;1))</f>
        <v/>
      </c>
    </row>
    <row r="288">
      <c r="A288" s="109">
        <f>DATI!A288</f>
        <v/>
      </c>
      <c r="B288" s="109">
        <f>DATI!B288</f>
        <v/>
      </c>
      <c r="C288" s="109">
        <f>DATI!H288</f>
        <v/>
      </c>
      <c r="D288" s="109">
        <f>SE.ERRORE(CERCA.X(A288;GIACENZA_REALE!A:A;GIACENZA_REALE!C:C);0)</f>
        <v/>
      </c>
      <c r="E288" s="109">
        <f>SE(C288=0;"";D288/C288)</f>
        <v/>
      </c>
      <c r="F288" s="109">
        <f>MAX(0;ARROTONDA.ECCESSO(C288-D288;1))</f>
        <v/>
      </c>
    </row>
    <row r="289">
      <c r="A289" s="109">
        <f>DATI!A289</f>
        <v/>
      </c>
      <c r="B289" s="109">
        <f>DATI!B289</f>
        <v/>
      </c>
      <c r="C289" s="109">
        <f>DATI!H289</f>
        <v/>
      </c>
      <c r="D289" s="109">
        <f>SE.ERRORE(CERCA.X(A289;GIACENZA_REALE!A:A;GIACENZA_REALE!C:C);0)</f>
        <v/>
      </c>
      <c r="E289" s="109">
        <f>SE(C289=0;"";D289/C289)</f>
        <v/>
      </c>
      <c r="F289" s="109">
        <f>MAX(0;ARROTONDA.ECCESSO(C289-D289;1))</f>
        <v/>
      </c>
    </row>
    <row r="290">
      <c r="A290" s="109">
        <f>DATI!A290</f>
        <v/>
      </c>
      <c r="B290" s="109">
        <f>DATI!B290</f>
        <v/>
      </c>
      <c r="C290" s="109">
        <f>DATI!H290</f>
        <v/>
      </c>
      <c r="D290" s="109">
        <f>SE.ERRORE(CERCA.X(A290;GIACENZA_REALE!A:A;GIACENZA_REALE!C:C);0)</f>
        <v/>
      </c>
      <c r="E290" s="109">
        <f>SE(C290=0;"";D290/C290)</f>
        <v/>
      </c>
      <c r="F290" s="109">
        <f>MAX(0;ARROTONDA.ECCESSO(C290-D290;1))</f>
        <v/>
      </c>
    </row>
    <row r="291">
      <c r="A291" s="109">
        <f>DATI!A291</f>
        <v/>
      </c>
      <c r="B291" s="109">
        <f>DATI!B291</f>
        <v/>
      </c>
      <c r="C291" s="109">
        <f>DATI!H291</f>
        <v/>
      </c>
      <c r="D291" s="109">
        <f>SE.ERRORE(CERCA.X(A291;GIACENZA_REALE!A:A;GIACENZA_REALE!C:C);0)</f>
        <v/>
      </c>
      <c r="E291" s="109">
        <f>SE(C291=0;"";D291/C291)</f>
        <v/>
      </c>
      <c r="F291" s="109">
        <f>MAX(0;ARROTONDA.ECCESSO(C291-D291;1))</f>
        <v/>
      </c>
    </row>
    <row r="292">
      <c r="A292" s="109">
        <f>DATI!A292</f>
        <v/>
      </c>
      <c r="B292" s="109">
        <f>DATI!B292</f>
        <v/>
      </c>
      <c r="C292" s="109">
        <f>DATI!H292</f>
        <v/>
      </c>
      <c r="D292" s="109">
        <f>SE.ERRORE(CERCA.X(A292;GIACENZA_REALE!A:A;GIACENZA_REALE!C:C);0)</f>
        <v/>
      </c>
      <c r="E292" s="109">
        <f>SE(C292=0;"";D292/C292)</f>
        <v/>
      </c>
      <c r="F292" s="109">
        <f>MAX(0;ARROTONDA.ECCESSO(C292-D292;1))</f>
        <v/>
      </c>
    </row>
    <row r="293">
      <c r="A293" s="109">
        <f>DATI!A293</f>
        <v/>
      </c>
      <c r="B293" s="109">
        <f>DATI!B293</f>
        <v/>
      </c>
      <c r="C293" s="109">
        <f>DATI!H293</f>
        <v/>
      </c>
      <c r="D293" s="109">
        <f>SE.ERRORE(CERCA.X(A293;GIACENZA_REALE!A:A;GIACENZA_REALE!C:C);0)</f>
        <v/>
      </c>
      <c r="E293" s="109">
        <f>SE(C293=0;"";D293/C293)</f>
        <v/>
      </c>
      <c r="F293" s="109">
        <f>MAX(0;ARROTONDA.ECCESSO(C293-D293;1))</f>
        <v/>
      </c>
    </row>
    <row r="294">
      <c r="A294" s="109">
        <f>DATI!A294</f>
        <v/>
      </c>
      <c r="B294" s="109">
        <f>DATI!B294</f>
        <v/>
      </c>
      <c r="C294" s="109">
        <f>DATI!H294</f>
        <v/>
      </c>
      <c r="D294" s="109">
        <f>SE.ERRORE(CERCA.X(A294;GIACENZA_REALE!A:A;GIACENZA_REALE!C:C);0)</f>
        <v/>
      </c>
      <c r="E294" s="109">
        <f>SE(C294=0;"";D294/C294)</f>
        <v/>
      </c>
      <c r="F294" s="109">
        <f>MAX(0;ARROTONDA.ECCESSO(C294-D294;1))</f>
        <v/>
      </c>
    </row>
    <row r="295">
      <c r="A295" s="109">
        <f>DATI!A295</f>
        <v/>
      </c>
      <c r="B295" s="109">
        <f>DATI!B295</f>
        <v/>
      </c>
      <c r="C295" s="109">
        <f>DATI!H295</f>
        <v/>
      </c>
      <c r="D295" s="109">
        <f>SE.ERRORE(CERCA.X(A295;GIACENZA_REALE!A:A;GIACENZA_REALE!C:C);0)</f>
        <v/>
      </c>
      <c r="E295" s="109">
        <f>SE(C295=0;"";D295/C295)</f>
        <v/>
      </c>
      <c r="F295" s="109">
        <f>MAX(0;ARROTONDA.ECCESSO(C295-D295;1))</f>
        <v/>
      </c>
    </row>
    <row r="296">
      <c r="A296" s="109">
        <f>DATI!A296</f>
        <v/>
      </c>
      <c r="B296" s="109">
        <f>DATI!B296</f>
        <v/>
      </c>
      <c r="C296" s="109">
        <f>DATI!H296</f>
        <v/>
      </c>
      <c r="D296" s="109">
        <f>SE.ERRORE(CERCA.X(A296;GIACENZA_REALE!A:A;GIACENZA_REALE!C:C);0)</f>
        <v/>
      </c>
      <c r="E296" s="109">
        <f>SE(C296=0;"";D296/C296)</f>
        <v/>
      </c>
      <c r="F296" s="109">
        <f>MAX(0;ARROTONDA.ECCESSO(C296-D296;1))</f>
        <v/>
      </c>
    </row>
    <row r="297">
      <c r="A297" s="109">
        <f>DATI!A297</f>
        <v/>
      </c>
      <c r="B297" s="109">
        <f>DATI!B297</f>
        <v/>
      </c>
      <c r="C297" s="109">
        <f>DATI!H297</f>
        <v/>
      </c>
      <c r="D297" s="109">
        <f>SE.ERRORE(CERCA.X(A297;GIACENZA_REALE!A:A;GIACENZA_REALE!C:C);0)</f>
        <v/>
      </c>
      <c r="E297" s="109">
        <f>SE(C297=0;"";D297/C297)</f>
        <v/>
      </c>
      <c r="F297" s="109">
        <f>MAX(0;ARROTONDA.ECCESSO(C297-D297;1))</f>
        <v/>
      </c>
    </row>
    <row r="298">
      <c r="A298" s="109">
        <f>DATI!A298</f>
        <v/>
      </c>
      <c r="B298" s="109">
        <f>DATI!B298</f>
        <v/>
      </c>
      <c r="C298" s="109">
        <f>DATI!H298</f>
        <v/>
      </c>
      <c r="D298" s="109">
        <f>SE.ERRORE(CERCA.X(A298;GIACENZA_REALE!A:A;GIACENZA_REALE!C:C);0)</f>
        <v/>
      </c>
      <c r="E298" s="109">
        <f>SE(C298=0;"";D298/C298)</f>
        <v/>
      </c>
      <c r="F298" s="109">
        <f>MAX(0;ARROTONDA.ECCESSO(C298-D298;1))</f>
        <v/>
      </c>
    </row>
    <row r="299">
      <c r="A299" s="109">
        <f>DATI!A299</f>
        <v/>
      </c>
      <c r="B299" s="109">
        <f>DATI!B299</f>
        <v/>
      </c>
      <c r="C299" s="109">
        <f>DATI!H299</f>
        <v/>
      </c>
      <c r="D299" s="109">
        <f>SE.ERRORE(CERCA.X(A299;GIACENZA_REALE!A:A;GIACENZA_REALE!C:C);0)</f>
        <v/>
      </c>
      <c r="E299" s="109">
        <f>SE(C299=0;"";D299/C299)</f>
        <v/>
      </c>
      <c r="F299" s="109">
        <f>MAX(0;ARROTONDA.ECCESSO(C299-D299;1))</f>
        <v/>
      </c>
    </row>
    <row r="300">
      <c r="A300" s="109">
        <f>DATI!A300</f>
        <v/>
      </c>
      <c r="B300" s="109">
        <f>DATI!B300</f>
        <v/>
      </c>
      <c r="C300" s="109">
        <f>DATI!H300</f>
        <v/>
      </c>
      <c r="D300" s="109">
        <f>SE.ERRORE(CERCA.X(A300;GIACENZA_REALE!A:A;GIACENZA_REALE!C:C);0)</f>
        <v/>
      </c>
      <c r="E300" s="109">
        <f>SE(C300=0;"";D300/C300)</f>
        <v/>
      </c>
      <c r="F300" s="109">
        <f>MAX(0;ARROTONDA.ECCESSO(C300-D300;1))</f>
        <v/>
      </c>
    </row>
    <row r="301">
      <c r="A301" s="109">
        <f>DATI!A301</f>
        <v/>
      </c>
      <c r="B301" s="109">
        <f>DATI!B301</f>
        <v/>
      </c>
      <c r="C301" s="109">
        <f>DATI!H301</f>
        <v/>
      </c>
      <c r="D301" s="109">
        <f>SE.ERRORE(CERCA.X(A301;GIACENZA_REALE!A:A;GIACENZA_REALE!C:C);0)</f>
        <v/>
      </c>
      <c r="E301" s="109">
        <f>SE(C301=0;"";D301/C301)</f>
        <v/>
      </c>
      <c r="F301" s="109">
        <f>MAX(0;ARROTONDA.ECCESSO(C301-D301;1))</f>
        <v/>
      </c>
    </row>
    <row r="302">
      <c r="A302" s="109">
        <f>DATI!A302</f>
        <v/>
      </c>
      <c r="B302" s="109">
        <f>DATI!B302</f>
        <v/>
      </c>
      <c r="C302" s="109">
        <f>DATI!H302</f>
        <v/>
      </c>
      <c r="D302" s="109">
        <f>SE.ERRORE(CERCA.X(A302;GIACENZA_REALE!A:A;GIACENZA_REALE!C:C);0)</f>
        <v/>
      </c>
      <c r="E302" s="109">
        <f>SE(C302=0;"";D302/C302)</f>
        <v/>
      </c>
      <c r="F302" s="109">
        <f>MAX(0;ARROTONDA.ECCESSO(C302-D302;1))</f>
        <v/>
      </c>
    </row>
    <row r="303">
      <c r="A303" s="109">
        <f>DATI!A303</f>
        <v/>
      </c>
      <c r="B303" s="109">
        <f>DATI!B303</f>
        <v/>
      </c>
      <c r="C303" s="109">
        <f>DATI!H303</f>
        <v/>
      </c>
      <c r="D303" s="109">
        <f>SE.ERRORE(CERCA.X(A303;GIACENZA_REALE!A:A;GIACENZA_REALE!C:C);0)</f>
        <v/>
      </c>
      <c r="E303" s="109">
        <f>SE(C303=0;"";D303/C303)</f>
        <v/>
      </c>
      <c r="F303" s="109">
        <f>MAX(0;ARROTONDA.ECCESSO(C303-D303;1))</f>
        <v/>
      </c>
    </row>
    <row r="304">
      <c r="A304" s="109">
        <f>DATI!A304</f>
        <v/>
      </c>
      <c r="B304" s="109">
        <f>DATI!B304</f>
        <v/>
      </c>
      <c r="C304" s="109">
        <f>DATI!H304</f>
        <v/>
      </c>
      <c r="D304" s="109">
        <f>SE.ERRORE(CERCA.X(A304;GIACENZA_REALE!A:A;GIACENZA_REALE!C:C);0)</f>
        <v/>
      </c>
      <c r="E304" s="109">
        <f>SE(C304=0;"";D304/C304)</f>
        <v/>
      </c>
      <c r="F304" s="109">
        <f>MAX(0;ARROTONDA.ECCESSO(C304-D304;1))</f>
        <v/>
      </c>
    </row>
    <row r="305">
      <c r="A305" s="109">
        <f>DATI!A305</f>
        <v/>
      </c>
      <c r="B305" s="109">
        <f>DATI!B305</f>
        <v/>
      </c>
      <c r="C305" s="109">
        <f>DATI!H305</f>
        <v/>
      </c>
      <c r="D305" s="109">
        <f>SE.ERRORE(CERCA.X(A305;GIACENZA_REALE!A:A;GIACENZA_REALE!C:C);0)</f>
        <v/>
      </c>
      <c r="E305" s="109">
        <f>SE(C305=0;"";D305/C305)</f>
        <v/>
      </c>
      <c r="F305" s="109">
        <f>MAX(0;ARROTONDA.ECCESSO(C305-D305;1))</f>
        <v/>
      </c>
    </row>
    <row r="306">
      <c r="A306" s="109">
        <f>DATI!A306</f>
        <v/>
      </c>
      <c r="B306" s="109">
        <f>DATI!B306</f>
        <v/>
      </c>
      <c r="C306" s="109">
        <f>DATI!H306</f>
        <v/>
      </c>
      <c r="D306" s="109">
        <f>SE.ERRORE(CERCA.X(A306;GIACENZA_REALE!A:A;GIACENZA_REALE!C:C);0)</f>
        <v/>
      </c>
      <c r="E306" s="109">
        <f>SE(C306=0;"";D306/C306)</f>
        <v/>
      </c>
      <c r="F306" s="109">
        <f>MAX(0;ARROTONDA.ECCESSO(C306-D306;1))</f>
        <v/>
      </c>
    </row>
    <row r="307">
      <c r="A307" s="109">
        <f>DATI!A307</f>
        <v/>
      </c>
      <c r="B307" s="109">
        <f>DATI!B307</f>
        <v/>
      </c>
      <c r="C307" s="109">
        <f>DATI!H307</f>
        <v/>
      </c>
      <c r="D307" s="109">
        <f>SE.ERRORE(CERCA.X(A307;GIACENZA_REALE!A:A;GIACENZA_REALE!C:C);0)</f>
        <v/>
      </c>
      <c r="E307" s="109">
        <f>SE(C307=0;"";D307/C307)</f>
        <v/>
      </c>
      <c r="F307" s="109">
        <f>MAX(0;ARROTONDA.ECCESSO(C307-D307;1))</f>
        <v/>
      </c>
    </row>
    <row r="308">
      <c r="A308" s="109">
        <f>DATI!A308</f>
        <v/>
      </c>
      <c r="B308" s="109">
        <f>DATI!B308</f>
        <v/>
      </c>
      <c r="C308" s="109">
        <f>DATI!H308</f>
        <v/>
      </c>
      <c r="D308" s="109">
        <f>SE.ERRORE(CERCA.X(A308;GIACENZA_REALE!A:A;GIACENZA_REALE!C:C);0)</f>
        <v/>
      </c>
      <c r="E308" s="109">
        <f>SE(C308=0;"";D308/C308)</f>
        <v/>
      </c>
      <c r="F308" s="109">
        <f>MAX(0;ARROTONDA.ECCESSO(C308-D308;1))</f>
        <v/>
      </c>
    </row>
    <row r="309">
      <c r="A309" s="109">
        <f>DATI!A309</f>
        <v/>
      </c>
      <c r="B309" s="109">
        <f>DATI!B309</f>
        <v/>
      </c>
      <c r="C309" s="109">
        <f>DATI!H309</f>
        <v/>
      </c>
      <c r="D309" s="109">
        <f>SE.ERRORE(CERCA.X(A309;GIACENZA_REALE!A:A;GIACENZA_REALE!C:C);0)</f>
        <v/>
      </c>
      <c r="E309" s="109">
        <f>SE(C309=0;"";D309/C309)</f>
        <v/>
      </c>
      <c r="F309" s="109">
        <f>MAX(0;ARROTONDA.ECCESSO(C309-D309;1))</f>
        <v/>
      </c>
    </row>
    <row r="310">
      <c r="A310" s="109">
        <f>DATI!A310</f>
        <v/>
      </c>
      <c r="B310" s="109">
        <f>DATI!B310</f>
        <v/>
      </c>
      <c r="C310" s="109">
        <f>DATI!H310</f>
        <v/>
      </c>
      <c r="D310" s="109">
        <f>SE.ERRORE(CERCA.X(A310;GIACENZA_REALE!A:A;GIACENZA_REALE!C:C);0)</f>
        <v/>
      </c>
      <c r="E310" s="109">
        <f>SE(C310=0;"";D310/C310)</f>
        <v/>
      </c>
      <c r="F310" s="109">
        <f>MAX(0;ARROTONDA.ECCESSO(C310-D310;1))</f>
        <v/>
      </c>
    </row>
    <row r="311">
      <c r="A311" s="109">
        <f>DATI!A311</f>
        <v/>
      </c>
      <c r="B311" s="109">
        <f>DATI!B311</f>
        <v/>
      </c>
      <c r="C311" s="109">
        <f>DATI!H311</f>
        <v/>
      </c>
      <c r="D311" s="109">
        <f>SE.ERRORE(CERCA.X(A311;GIACENZA_REALE!A:A;GIACENZA_REALE!C:C);0)</f>
        <v/>
      </c>
      <c r="E311" s="109">
        <f>SE(C311=0;"";D311/C311)</f>
        <v/>
      </c>
      <c r="F311" s="109">
        <f>MAX(0;ARROTONDA.ECCESSO(C311-D311;1))</f>
        <v/>
      </c>
    </row>
    <row r="312">
      <c r="A312" s="109">
        <f>DATI!A312</f>
        <v/>
      </c>
      <c r="B312" s="109">
        <f>DATI!B312</f>
        <v/>
      </c>
      <c r="C312" s="109">
        <f>DATI!H312</f>
        <v/>
      </c>
      <c r="D312" s="109">
        <f>SE.ERRORE(CERCA.X(A312;GIACENZA_REALE!A:A;GIACENZA_REALE!C:C);0)</f>
        <v/>
      </c>
      <c r="E312" s="109">
        <f>SE(C312=0;"";D312/C312)</f>
        <v/>
      </c>
      <c r="F312" s="109">
        <f>MAX(0;ARROTONDA.ECCESSO(C312-D312;1))</f>
        <v/>
      </c>
    </row>
    <row r="313">
      <c r="A313" s="109">
        <f>DATI!A313</f>
        <v/>
      </c>
      <c r="B313" s="109">
        <f>DATI!B313</f>
        <v/>
      </c>
      <c r="C313" s="109">
        <f>DATI!H313</f>
        <v/>
      </c>
      <c r="D313" s="109">
        <f>SE.ERRORE(CERCA.X(A313;GIACENZA_REALE!A:A;GIACENZA_REALE!C:C);0)</f>
        <v/>
      </c>
      <c r="E313" s="109">
        <f>SE(C313=0;"";D313/C313)</f>
        <v/>
      </c>
      <c r="F313" s="109">
        <f>MAX(0;ARROTONDA.ECCESSO(C313-D313;1))</f>
        <v/>
      </c>
    </row>
    <row r="314">
      <c r="A314" s="109">
        <f>DATI!A314</f>
        <v/>
      </c>
      <c r="B314" s="109">
        <f>DATI!B314</f>
        <v/>
      </c>
      <c r="C314" s="109">
        <f>DATI!H314</f>
        <v/>
      </c>
      <c r="D314" s="109">
        <f>SE.ERRORE(CERCA.X(A314;GIACENZA_REALE!A:A;GIACENZA_REALE!C:C);0)</f>
        <v/>
      </c>
      <c r="E314" s="109">
        <f>SE(C314=0;"";D314/C314)</f>
        <v/>
      </c>
      <c r="F314" s="109">
        <f>MAX(0;ARROTONDA.ECCESSO(C314-D314;1))</f>
        <v/>
      </c>
    </row>
    <row r="315">
      <c r="A315" s="109">
        <f>DATI!A315</f>
        <v/>
      </c>
      <c r="B315" s="109">
        <f>DATI!B315</f>
        <v/>
      </c>
      <c r="C315" s="109">
        <f>DATI!H315</f>
        <v/>
      </c>
      <c r="D315" s="109">
        <f>SE.ERRORE(CERCA.X(A315;GIACENZA_REALE!A:A;GIACENZA_REALE!C:C);0)</f>
        <v/>
      </c>
      <c r="E315" s="109">
        <f>SE(C315=0;"";D315/C315)</f>
        <v/>
      </c>
      <c r="F315" s="109">
        <f>MAX(0;ARROTONDA.ECCESSO(C315-D315;1))</f>
        <v/>
      </c>
    </row>
    <row r="316">
      <c r="A316" s="109">
        <f>DATI!A316</f>
        <v/>
      </c>
      <c r="B316" s="109">
        <f>DATI!B316</f>
        <v/>
      </c>
      <c r="C316" s="109">
        <f>DATI!H316</f>
        <v/>
      </c>
      <c r="D316" s="109">
        <f>SE.ERRORE(CERCA.X(A316;GIACENZA_REALE!A:A;GIACENZA_REALE!C:C);0)</f>
        <v/>
      </c>
      <c r="E316" s="109">
        <f>SE(C316=0;"";D316/C316)</f>
        <v/>
      </c>
      <c r="F316" s="109">
        <f>MAX(0;ARROTONDA.ECCESSO(C316-D316;1))</f>
        <v/>
      </c>
    </row>
    <row r="317">
      <c r="A317" s="109">
        <f>DATI!A317</f>
        <v/>
      </c>
      <c r="B317" s="109">
        <f>DATI!B317</f>
        <v/>
      </c>
      <c r="C317" s="109">
        <f>DATI!H317</f>
        <v/>
      </c>
      <c r="D317" s="109">
        <f>SE.ERRORE(CERCA.X(A317;GIACENZA_REALE!A:A;GIACENZA_REALE!C:C);0)</f>
        <v/>
      </c>
      <c r="E317" s="109">
        <f>SE(C317=0;"";D317/C317)</f>
        <v/>
      </c>
      <c r="F317" s="109">
        <f>MAX(0;ARROTONDA.ECCESSO(C317-D317;1))</f>
        <v/>
      </c>
    </row>
    <row r="318">
      <c r="A318" s="109">
        <f>DATI!A318</f>
        <v/>
      </c>
      <c r="B318" s="109">
        <f>DATI!B318</f>
        <v/>
      </c>
      <c r="C318" s="109">
        <f>DATI!H318</f>
        <v/>
      </c>
      <c r="D318" s="109">
        <f>SE.ERRORE(CERCA.X(A318;GIACENZA_REALE!A:A;GIACENZA_REALE!C:C);0)</f>
        <v/>
      </c>
      <c r="E318" s="109">
        <f>SE(C318=0;"";D318/C318)</f>
        <v/>
      </c>
      <c r="F318" s="109">
        <f>MAX(0;ARROTONDA.ECCESSO(C318-D318;1))</f>
        <v/>
      </c>
    </row>
    <row r="319">
      <c r="A319" s="109">
        <f>DATI!A319</f>
        <v/>
      </c>
      <c r="B319" s="109">
        <f>DATI!B319</f>
        <v/>
      </c>
      <c r="C319" s="109">
        <f>DATI!H319</f>
        <v/>
      </c>
      <c r="D319" s="109">
        <f>SE.ERRORE(CERCA.X(A319;GIACENZA_REALE!A:A;GIACENZA_REALE!C:C);0)</f>
        <v/>
      </c>
      <c r="E319" s="109">
        <f>SE(C319=0;"";D319/C319)</f>
        <v/>
      </c>
      <c r="F319" s="109">
        <f>MAX(0;ARROTONDA.ECCESSO(C319-D319;1))</f>
        <v/>
      </c>
    </row>
    <row r="320">
      <c r="A320" s="109">
        <f>DATI!A320</f>
        <v/>
      </c>
      <c r="B320" s="109">
        <f>DATI!B320</f>
        <v/>
      </c>
      <c r="C320" s="109">
        <f>DATI!H320</f>
        <v/>
      </c>
      <c r="D320" s="109">
        <f>SE.ERRORE(CERCA.X(A320;GIACENZA_REALE!A:A;GIACENZA_REALE!C:C);0)</f>
        <v/>
      </c>
      <c r="E320" s="109">
        <f>SE(C320=0;"";D320/C320)</f>
        <v/>
      </c>
      <c r="F320" s="109">
        <f>MAX(0;ARROTONDA.ECCESSO(C320-D320;1))</f>
        <v/>
      </c>
    </row>
    <row r="321">
      <c r="A321" s="109">
        <f>DATI!A321</f>
        <v/>
      </c>
      <c r="B321" s="109">
        <f>DATI!B321</f>
        <v/>
      </c>
      <c r="C321" s="109">
        <f>DATI!H321</f>
        <v/>
      </c>
      <c r="D321" s="109">
        <f>SE.ERRORE(CERCA.X(A321;GIACENZA_REALE!A:A;GIACENZA_REALE!C:C);0)</f>
        <v/>
      </c>
      <c r="E321" s="109">
        <f>SE(C321=0;"";D321/C321)</f>
        <v/>
      </c>
      <c r="F321" s="109">
        <f>MAX(0;ARROTONDA.ECCESSO(C321-D321;1))</f>
        <v/>
      </c>
    </row>
    <row r="322">
      <c r="A322" s="109">
        <f>DATI!A322</f>
        <v/>
      </c>
      <c r="B322" s="109">
        <f>DATI!B322</f>
        <v/>
      </c>
      <c r="C322" s="109">
        <f>DATI!H322</f>
        <v/>
      </c>
      <c r="D322" s="109">
        <f>SE.ERRORE(CERCA.X(A322;GIACENZA_REALE!A:A;GIACENZA_REALE!C:C);0)</f>
        <v/>
      </c>
      <c r="E322" s="109">
        <f>SE(C322=0;"";D322/C322)</f>
        <v/>
      </c>
      <c r="F322" s="109">
        <f>MAX(0;ARROTONDA.ECCESSO(C322-D322;1))</f>
        <v/>
      </c>
    </row>
    <row r="323">
      <c r="A323" s="109">
        <f>DATI!A323</f>
        <v/>
      </c>
      <c r="B323" s="109">
        <f>DATI!B323</f>
        <v/>
      </c>
      <c r="C323" s="109">
        <f>DATI!H323</f>
        <v/>
      </c>
      <c r="D323" s="109">
        <f>SE.ERRORE(CERCA.X(A323;GIACENZA_REALE!A:A;GIACENZA_REALE!C:C);0)</f>
        <v/>
      </c>
      <c r="E323" s="109">
        <f>SE(C323=0;"";D323/C323)</f>
        <v/>
      </c>
      <c r="F323" s="109">
        <f>MAX(0;ARROTONDA.ECCESSO(C323-D323;1))</f>
        <v/>
      </c>
    </row>
    <row r="324">
      <c r="A324" s="109">
        <f>DATI!A324</f>
        <v/>
      </c>
      <c r="B324" s="109">
        <f>DATI!B324</f>
        <v/>
      </c>
      <c r="C324" s="109">
        <f>DATI!H324</f>
        <v/>
      </c>
      <c r="D324" s="109">
        <f>SE.ERRORE(CERCA.X(A324;GIACENZA_REALE!A:A;GIACENZA_REALE!C:C);0)</f>
        <v/>
      </c>
      <c r="E324" s="109">
        <f>SE(C324=0;"";D324/C324)</f>
        <v/>
      </c>
      <c r="F324" s="109">
        <f>MAX(0;ARROTONDA.ECCESSO(C324-D324;1))</f>
        <v/>
      </c>
    </row>
    <row r="325">
      <c r="A325" s="109">
        <f>DATI!A325</f>
        <v/>
      </c>
      <c r="B325" s="109">
        <f>DATI!B325</f>
        <v/>
      </c>
      <c r="C325" s="109">
        <f>DATI!H325</f>
        <v/>
      </c>
      <c r="D325" s="109">
        <f>SE.ERRORE(CERCA.X(A325;GIACENZA_REALE!A:A;GIACENZA_REALE!C:C);0)</f>
        <v/>
      </c>
      <c r="E325" s="109">
        <f>SE(C325=0;"";D325/C325)</f>
        <v/>
      </c>
      <c r="F325" s="109">
        <f>MAX(0;ARROTONDA.ECCESSO(C325-D325;1))</f>
        <v/>
      </c>
    </row>
    <row r="326">
      <c r="A326" s="109">
        <f>DATI!A326</f>
        <v/>
      </c>
      <c r="B326" s="109">
        <f>DATI!B326</f>
        <v/>
      </c>
      <c r="C326" s="109">
        <f>DATI!H326</f>
        <v/>
      </c>
      <c r="D326" s="109">
        <f>SE.ERRORE(CERCA.X(A326;GIACENZA_REALE!A:A;GIACENZA_REALE!C:C);0)</f>
        <v/>
      </c>
      <c r="E326" s="109">
        <f>SE(C326=0;"";D326/C326)</f>
        <v/>
      </c>
      <c r="F326" s="109">
        <f>MAX(0;ARROTONDA.ECCESSO(C326-D326;1))</f>
        <v/>
      </c>
    </row>
    <row r="327">
      <c r="A327" s="109">
        <f>DATI!A327</f>
        <v/>
      </c>
      <c r="B327" s="109">
        <f>DATI!B327</f>
        <v/>
      </c>
      <c r="C327" s="109">
        <f>DATI!H327</f>
        <v/>
      </c>
      <c r="D327" s="109">
        <f>SE.ERRORE(CERCA.X(A327;GIACENZA_REALE!A:A;GIACENZA_REALE!C:C);0)</f>
        <v/>
      </c>
      <c r="E327" s="109">
        <f>SE(C327=0;"";D327/C327)</f>
        <v/>
      </c>
      <c r="F327" s="109">
        <f>MAX(0;ARROTONDA.ECCESSO(C327-D327;1))</f>
        <v/>
      </c>
    </row>
    <row r="328">
      <c r="A328" s="109">
        <f>DATI!A328</f>
        <v/>
      </c>
      <c r="B328" s="109">
        <f>DATI!B328</f>
        <v/>
      </c>
      <c r="C328" s="109">
        <f>DATI!H328</f>
        <v/>
      </c>
      <c r="D328" s="109">
        <f>SE.ERRORE(CERCA.X(A328;GIACENZA_REALE!A:A;GIACENZA_REALE!C:C);0)</f>
        <v/>
      </c>
      <c r="E328" s="109">
        <f>SE(C328=0;"";D328/C328)</f>
        <v/>
      </c>
      <c r="F328" s="109">
        <f>MAX(0;ARROTONDA.ECCESSO(C328-D328;1))</f>
        <v/>
      </c>
    </row>
    <row r="329">
      <c r="A329" s="109">
        <f>DATI!A329</f>
        <v/>
      </c>
      <c r="B329" s="109">
        <f>DATI!B329</f>
        <v/>
      </c>
      <c r="C329" s="109">
        <f>DATI!H329</f>
        <v/>
      </c>
      <c r="D329" s="109">
        <f>SE.ERRORE(CERCA.X(A329;GIACENZA_REALE!A:A;GIACENZA_REALE!C:C);0)</f>
        <v/>
      </c>
      <c r="E329" s="109">
        <f>SE(C329=0;"";D329/C329)</f>
        <v/>
      </c>
      <c r="F329" s="109">
        <f>MAX(0;ARROTONDA.ECCESSO(C329-D329;1))</f>
        <v/>
      </c>
    </row>
    <row r="330">
      <c r="A330" s="109">
        <f>DATI!A330</f>
        <v/>
      </c>
      <c r="B330" s="109">
        <f>DATI!B330</f>
        <v/>
      </c>
      <c r="C330" s="109">
        <f>DATI!H330</f>
        <v/>
      </c>
      <c r="D330" s="109">
        <f>SE.ERRORE(CERCA.X(A330;GIACENZA_REALE!A:A;GIACENZA_REALE!C:C);0)</f>
        <v/>
      </c>
      <c r="E330" s="109">
        <f>SE(C330=0;"";D330/C330)</f>
        <v/>
      </c>
      <c r="F330" s="109">
        <f>MAX(0;ARROTONDA.ECCESSO(C330-D330;1))</f>
        <v/>
      </c>
    </row>
    <row r="331">
      <c r="A331" s="109">
        <f>DATI!A331</f>
        <v/>
      </c>
      <c r="B331" s="109">
        <f>DATI!B331</f>
        <v/>
      </c>
      <c r="C331" s="109">
        <f>DATI!H331</f>
        <v/>
      </c>
      <c r="D331" s="109">
        <f>SE.ERRORE(CERCA.X(A331;GIACENZA_REALE!A:A;GIACENZA_REALE!C:C);0)</f>
        <v/>
      </c>
      <c r="E331" s="109">
        <f>SE(C331=0;"";D331/C331)</f>
        <v/>
      </c>
      <c r="F331" s="109">
        <f>MAX(0;ARROTONDA.ECCESSO(C331-D331;1))</f>
        <v/>
      </c>
    </row>
    <row r="332">
      <c r="A332" s="109">
        <f>DATI!A332</f>
        <v/>
      </c>
      <c r="B332" s="109">
        <f>DATI!B332</f>
        <v/>
      </c>
      <c r="C332" s="109">
        <f>DATI!H332</f>
        <v/>
      </c>
      <c r="D332" s="109">
        <f>SE.ERRORE(CERCA.X(A332;GIACENZA_REALE!A:A;GIACENZA_REALE!C:C);0)</f>
        <v/>
      </c>
      <c r="E332" s="109">
        <f>SE(C332=0;"";D332/C332)</f>
        <v/>
      </c>
      <c r="F332" s="109">
        <f>MAX(0;ARROTONDA.ECCESSO(C332-D332;1))</f>
        <v/>
      </c>
    </row>
    <row r="333">
      <c r="A333" s="109">
        <f>DATI!A333</f>
        <v/>
      </c>
      <c r="B333" s="109">
        <f>DATI!B333</f>
        <v/>
      </c>
      <c r="C333" s="109">
        <f>DATI!H333</f>
        <v/>
      </c>
      <c r="D333" s="109">
        <f>SE.ERRORE(CERCA.X(A333;GIACENZA_REALE!A:A;GIACENZA_REALE!C:C);0)</f>
        <v/>
      </c>
      <c r="E333" s="109">
        <f>SE(C333=0;"";D333/C333)</f>
        <v/>
      </c>
      <c r="F333" s="109">
        <f>MAX(0;ARROTONDA.ECCESSO(C333-D333;1))</f>
        <v/>
      </c>
    </row>
    <row r="334">
      <c r="A334" s="109">
        <f>DATI!A334</f>
        <v/>
      </c>
      <c r="B334" s="109">
        <f>DATI!B334</f>
        <v/>
      </c>
      <c r="C334" s="109">
        <f>DATI!H334</f>
        <v/>
      </c>
      <c r="D334" s="109">
        <f>SE.ERRORE(CERCA.X(A334;GIACENZA_REALE!A:A;GIACENZA_REALE!C:C);0)</f>
        <v/>
      </c>
      <c r="E334" s="109">
        <f>SE(C334=0;"";D334/C334)</f>
        <v/>
      </c>
      <c r="F334" s="109">
        <f>MAX(0;ARROTONDA.ECCESSO(C334-D334;1))</f>
        <v/>
      </c>
    </row>
    <row r="335">
      <c r="A335" s="109">
        <f>DATI!A335</f>
        <v/>
      </c>
      <c r="B335" s="109">
        <f>DATI!B335</f>
        <v/>
      </c>
      <c r="C335" s="109">
        <f>DATI!H335</f>
        <v/>
      </c>
      <c r="D335" s="109">
        <f>SE.ERRORE(CERCA.X(A335;GIACENZA_REALE!A:A;GIACENZA_REALE!C:C);0)</f>
        <v/>
      </c>
      <c r="E335" s="109">
        <f>SE(C335=0;"";D335/C335)</f>
        <v/>
      </c>
      <c r="F335" s="109">
        <f>MAX(0;ARROTONDA.ECCESSO(C335-D335;1))</f>
        <v/>
      </c>
    </row>
    <row r="336">
      <c r="A336" s="109">
        <f>DATI!A336</f>
        <v/>
      </c>
      <c r="B336" s="109">
        <f>DATI!B336</f>
        <v/>
      </c>
      <c r="C336" s="109">
        <f>DATI!H336</f>
        <v/>
      </c>
      <c r="D336" s="109">
        <f>SE.ERRORE(CERCA.X(A336;GIACENZA_REALE!A:A;GIACENZA_REALE!C:C);0)</f>
        <v/>
      </c>
      <c r="E336" s="109">
        <f>SE(C336=0;"";D336/C336)</f>
        <v/>
      </c>
      <c r="F336" s="109">
        <f>MAX(0;ARROTONDA.ECCESSO(C336-D336;1))</f>
        <v/>
      </c>
    </row>
    <row r="337">
      <c r="A337" s="109">
        <f>DATI!A337</f>
        <v/>
      </c>
      <c r="B337" s="109">
        <f>DATI!B337</f>
        <v/>
      </c>
      <c r="C337" s="109">
        <f>DATI!H337</f>
        <v/>
      </c>
      <c r="D337" s="109">
        <f>SE.ERRORE(CERCA.X(A337;GIACENZA_REALE!A:A;GIACENZA_REALE!C:C);0)</f>
        <v/>
      </c>
      <c r="E337" s="109">
        <f>SE(C337=0;"";D337/C337)</f>
        <v/>
      </c>
      <c r="F337" s="109">
        <f>MAX(0;ARROTONDA.ECCESSO(C337-D337;1))</f>
        <v/>
      </c>
    </row>
    <row r="338">
      <c r="A338" s="109">
        <f>DATI!A338</f>
        <v/>
      </c>
      <c r="B338" s="109">
        <f>DATI!B338</f>
        <v/>
      </c>
      <c r="C338" s="109">
        <f>DATI!H338</f>
        <v/>
      </c>
      <c r="D338" s="109">
        <f>SE.ERRORE(CERCA.X(A338;GIACENZA_REALE!A:A;GIACENZA_REALE!C:C);0)</f>
        <v/>
      </c>
      <c r="E338" s="109">
        <f>SE(C338=0;"";D338/C338)</f>
        <v/>
      </c>
      <c r="F338" s="109">
        <f>MAX(0;ARROTONDA.ECCESSO(C338-D338;1))</f>
        <v/>
      </c>
    </row>
    <row r="339">
      <c r="A339" s="109">
        <f>DATI!A339</f>
        <v/>
      </c>
      <c r="B339" s="109">
        <f>DATI!B339</f>
        <v/>
      </c>
      <c r="C339" s="109">
        <f>DATI!H339</f>
        <v/>
      </c>
      <c r="D339" s="109">
        <f>SE.ERRORE(CERCA.X(A339;GIACENZA_REALE!A:A;GIACENZA_REALE!C:C);0)</f>
        <v/>
      </c>
      <c r="E339" s="109">
        <f>SE(C339=0;"";D339/C339)</f>
        <v/>
      </c>
      <c r="F339" s="109">
        <f>MAX(0;ARROTONDA.ECCESSO(C339-D339;1))</f>
        <v/>
      </c>
    </row>
    <row r="340">
      <c r="A340" s="109">
        <f>DATI!A340</f>
        <v/>
      </c>
      <c r="B340" s="109">
        <f>DATI!B340</f>
        <v/>
      </c>
      <c r="C340" s="109">
        <f>DATI!H340</f>
        <v/>
      </c>
      <c r="D340" s="109">
        <f>SE.ERRORE(CERCA.X(A340;GIACENZA_REALE!A:A;GIACENZA_REALE!C:C);0)</f>
        <v/>
      </c>
      <c r="E340" s="109">
        <f>SE(C340=0;"";D340/C340)</f>
        <v/>
      </c>
      <c r="F340" s="109">
        <f>MAX(0;ARROTONDA.ECCESSO(C340-D340;1))</f>
        <v/>
      </c>
    </row>
    <row r="341">
      <c r="A341" s="109">
        <f>DATI!A341</f>
        <v/>
      </c>
      <c r="B341" s="109">
        <f>DATI!B341</f>
        <v/>
      </c>
      <c r="C341" s="109">
        <f>DATI!H341</f>
        <v/>
      </c>
      <c r="D341" s="109">
        <f>SE.ERRORE(CERCA.X(A341;GIACENZA_REALE!A:A;GIACENZA_REALE!C:C);0)</f>
        <v/>
      </c>
      <c r="E341" s="109">
        <f>SE(C341=0;"";D341/C341)</f>
        <v/>
      </c>
      <c r="F341" s="109">
        <f>MAX(0;ARROTONDA.ECCESSO(C341-D341;1))</f>
        <v/>
      </c>
    </row>
    <row r="342">
      <c r="A342" s="109">
        <f>DATI!A342</f>
        <v/>
      </c>
      <c r="B342" s="109">
        <f>DATI!B342</f>
        <v/>
      </c>
      <c r="C342" s="109">
        <f>DATI!H342</f>
        <v/>
      </c>
      <c r="D342" s="109">
        <f>SE.ERRORE(CERCA.X(A342;GIACENZA_REALE!A:A;GIACENZA_REALE!C:C);0)</f>
        <v/>
      </c>
      <c r="E342" s="109">
        <f>SE(C342=0;"";D342/C342)</f>
        <v/>
      </c>
      <c r="F342" s="109">
        <f>MAX(0;ARROTONDA.ECCESSO(C342-D342;1))</f>
        <v/>
      </c>
    </row>
    <row r="343">
      <c r="A343" s="109">
        <f>DATI!A343</f>
        <v/>
      </c>
      <c r="B343" s="109">
        <f>DATI!B343</f>
        <v/>
      </c>
      <c r="C343" s="109">
        <f>DATI!H343</f>
        <v/>
      </c>
      <c r="D343" s="109">
        <f>SE.ERRORE(CERCA.X(A343;GIACENZA_REALE!A:A;GIACENZA_REALE!C:C);0)</f>
        <v/>
      </c>
      <c r="E343" s="109">
        <f>SE(C343=0;"";D343/C343)</f>
        <v/>
      </c>
      <c r="F343" s="109">
        <f>MAX(0;ARROTONDA.ECCESSO(C343-D343;1))</f>
        <v/>
      </c>
    </row>
    <row r="344">
      <c r="A344" s="109">
        <f>DATI!A344</f>
        <v/>
      </c>
      <c r="B344" s="109">
        <f>DATI!B344</f>
        <v/>
      </c>
      <c r="C344" s="109">
        <f>DATI!H344</f>
        <v/>
      </c>
      <c r="D344" s="109">
        <f>SE.ERRORE(CERCA.X(A344;GIACENZA_REALE!A:A;GIACENZA_REALE!C:C);0)</f>
        <v/>
      </c>
      <c r="E344" s="109">
        <f>SE(C344=0;"";D344/C344)</f>
        <v/>
      </c>
      <c r="F344" s="109">
        <f>MAX(0;ARROTONDA.ECCESSO(C344-D344;1))</f>
        <v/>
      </c>
    </row>
    <row r="345">
      <c r="A345" s="109">
        <f>DATI!A345</f>
        <v/>
      </c>
      <c r="B345" s="109">
        <f>DATI!B345</f>
        <v/>
      </c>
      <c r="C345" s="109">
        <f>DATI!H345</f>
        <v/>
      </c>
      <c r="D345" s="109">
        <f>SE.ERRORE(CERCA.X(A345;GIACENZA_REALE!A:A;GIACENZA_REALE!C:C);0)</f>
        <v/>
      </c>
      <c r="E345" s="109">
        <f>SE(C345=0;"";D345/C345)</f>
        <v/>
      </c>
      <c r="F345" s="109">
        <f>MAX(0;ARROTONDA.ECCESSO(C345-D345;1))</f>
        <v/>
      </c>
    </row>
    <row r="346">
      <c r="A346" s="109">
        <f>DATI!A346</f>
        <v/>
      </c>
      <c r="B346" s="109">
        <f>DATI!B346</f>
        <v/>
      </c>
      <c r="C346" s="109">
        <f>DATI!H346</f>
        <v/>
      </c>
      <c r="D346" s="109">
        <f>SE.ERRORE(CERCA.X(A346;GIACENZA_REALE!A:A;GIACENZA_REALE!C:C);0)</f>
        <v/>
      </c>
      <c r="E346" s="109">
        <f>SE(C346=0;"";D346/C346)</f>
        <v/>
      </c>
      <c r="F346" s="109">
        <f>MAX(0;ARROTONDA.ECCESSO(C346-D346;1))</f>
        <v/>
      </c>
    </row>
    <row r="347">
      <c r="A347" s="109">
        <f>DATI!A347</f>
        <v/>
      </c>
      <c r="B347" s="109">
        <f>DATI!B347</f>
        <v/>
      </c>
      <c r="C347" s="109">
        <f>DATI!H347</f>
        <v/>
      </c>
      <c r="D347" s="109">
        <f>SE.ERRORE(CERCA.X(A347;GIACENZA_REALE!A:A;GIACENZA_REALE!C:C);0)</f>
        <v/>
      </c>
      <c r="E347" s="109">
        <f>SE(C347=0;"";D347/C347)</f>
        <v/>
      </c>
      <c r="F347" s="109">
        <f>MAX(0;ARROTONDA.ECCESSO(C347-D347;1))</f>
        <v/>
      </c>
    </row>
    <row r="348">
      <c r="A348" s="109">
        <f>DATI!A348</f>
        <v/>
      </c>
      <c r="B348" s="109">
        <f>DATI!B348</f>
        <v/>
      </c>
      <c r="C348" s="109">
        <f>DATI!H348</f>
        <v/>
      </c>
      <c r="D348" s="109">
        <f>SE.ERRORE(CERCA.X(A348;GIACENZA_REALE!A:A;GIACENZA_REALE!C:C);0)</f>
        <v/>
      </c>
      <c r="E348" s="109">
        <f>SE(C348=0;"";D348/C348)</f>
        <v/>
      </c>
      <c r="F348" s="109">
        <f>MAX(0;ARROTONDA.ECCESSO(C348-D348;1))</f>
        <v/>
      </c>
    </row>
    <row r="349">
      <c r="A349" s="109">
        <f>DATI!A349</f>
        <v/>
      </c>
      <c r="B349" s="109">
        <f>DATI!B349</f>
        <v/>
      </c>
      <c r="C349" s="109">
        <f>DATI!H349</f>
        <v/>
      </c>
      <c r="D349" s="109">
        <f>SE.ERRORE(CERCA.X(A349;GIACENZA_REALE!A:A;GIACENZA_REALE!C:C);0)</f>
        <v/>
      </c>
      <c r="E349" s="109">
        <f>SE(C349=0;"";D349/C349)</f>
        <v/>
      </c>
      <c r="F349" s="109">
        <f>MAX(0;ARROTONDA.ECCESSO(C349-D349;1))</f>
        <v/>
      </c>
    </row>
    <row r="350">
      <c r="A350" s="109">
        <f>DATI!A350</f>
        <v/>
      </c>
      <c r="B350" s="109">
        <f>DATI!B350</f>
        <v/>
      </c>
      <c r="C350" s="109">
        <f>DATI!H350</f>
        <v/>
      </c>
      <c r="D350" s="109">
        <f>SE.ERRORE(CERCA.X(A350;GIACENZA_REALE!A:A;GIACENZA_REALE!C:C);0)</f>
        <v/>
      </c>
      <c r="E350" s="109">
        <f>SE(C350=0;"";D350/C350)</f>
        <v/>
      </c>
      <c r="F350" s="109">
        <f>MAX(0;ARROTONDA.ECCESSO(C350-D350;1))</f>
        <v/>
      </c>
    </row>
  </sheetData>
  <conditionalFormatting sqref="E2:E350">
    <cfRule type="expression" priority="1" dxfId="12">
      <formula>E2&lt;1</formula>
    </cfRule>
    <cfRule type="expression" priority="2" dxfId="13">
      <formula>AND(E2&gt;=1,E2&lt;2)</formula>
    </cfRule>
    <cfRule type="expression" priority="3" dxfId="14">
      <formula>E2&gt;=2</formula>
    </cfRule>
  </conditionalFormatting>
  <conditionalFormatting sqref="F2:F350">
    <cfRule type="expression" priority="4" dxfId="12">
      <formula>F2&gt;0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RIEPILOGO ORDINE MENSILE</t>
        </is>
      </c>
    </row>
    <row r="3">
      <c r="A3" t="inlineStr">
        <is>
          <t>Prodotti da ordinare:</t>
        </is>
      </c>
      <c r="B3">
        <f>CONTA.SE(ORDINE_MESE!F2:F350;"&gt;0")</f>
        <v/>
      </c>
    </row>
    <row r="4">
      <c r="A4" t="inlineStr">
        <is>
          <t>Totale kit da ordinare:</t>
        </is>
      </c>
      <c r="B4">
        <f>SOMMA(ORDINE_MESE!F2:F350)</f>
        <v/>
      </c>
    </row>
    <row r="6">
      <c r="A6" t="inlineStr">
        <is>
          <t>Prodotti critici (&lt;1 mese copertura):</t>
        </is>
      </c>
      <c r="B6">
        <f>CONTA.SE(ORDINE_MESE!E2:E350;"&lt;1")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Ferri, Federico</dc:creator>
  <dc:language xmlns:dc="http://purl.org/dc/elements/1.1/">it-IT</dc:language>
  <dcterms:created xmlns:dcterms="http://purl.org/dc/terms/" xmlns:xsi="http://www.w3.org/2001/XMLSchema-instance" xsi:type="dcterms:W3CDTF">2026-01-26T15:10:29Z</dcterms:created>
  <dcterms:modified xmlns:dcterms="http://purl.org/dc/terms/" xmlns:xsi="http://www.w3.org/2001/XMLSchema-instance" xsi:type="dcterms:W3CDTF">2026-02-03T18:35:37Z</dcterms:modified>
  <cp:lastModifiedBy>Ferri, Federico</cp:lastModifiedBy>
  <cp:revision>0</cp:revision>
</cp:coreProperties>
</file>